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b84478011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Přehled" sheetId="1" r:id="Re4609ee942134ad6"/>
    <x:sheet xmlns:r="http://schemas.openxmlformats.org/officeDocument/2006/relationships" name="2. Vstupy" sheetId="2" r:id="R1e871c0f49714d07"/>
    <x:sheet xmlns:r="http://schemas.openxmlformats.org/officeDocument/2006/relationships" name="3. Ceník" sheetId="3" r:id="R5d0c446eada14c17"/>
    <x:sheet xmlns:r="http://schemas.openxmlformats.org/officeDocument/2006/relationships" name="4. Skladby" sheetId="4" r:id="R6c24c881166942ba"/>
    <x:sheet xmlns:r="http://schemas.openxmlformats.org/officeDocument/2006/relationships" name="5. Benchmark" sheetId="5" r:id="Ra84904d1cb7e41da"/>
    <x:sheet xmlns:r="http://schemas.openxmlformats.org/officeDocument/2006/relationships" name="6. Zakázka a sleva" sheetId="6" r:id="R81979c7070cc4786"/>
    <x:sheet xmlns:r="http://schemas.openxmlformats.org/officeDocument/2006/relationships" name="7. Skutečnost" sheetId="7" r:id="Ra154da76d06645f9"/>
    <x:sheet xmlns:r="http://schemas.openxmlformats.org/officeDocument/2006/relationships" name="8. Materiály" sheetId="8" r:id="R409edba34b02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#,##0 &quot;Kč&quot;;[Red](#,##0 &quot;Kč&quot;);-"/>
    <x:numFmt numFmtId="202" formatCode="0.0%;[Red](0.0%);-"/>
    <x:numFmt numFmtId="203" formatCode="0.00"/>
    <x:numFmt numFmtId="204" formatCode="#,##0.00 &quot;Kč&quot;;[Red](#,##0.00 &quot;Kč&quot;);-"/>
    <x:numFmt numFmtId="205" formatCode="0.000"/>
    <x:numFmt numFmtId="206" formatCode="#,##0.00;[Red](#,##0.00);-"/>
    <x:numFmt numFmtId="207" formatCode="#,##0.0"/>
    <x:numFmt numFmtId="208" formatCode="#,##0"/>
    <x:numFmt numFmtId="209" formatCode="#,##0.000;[Red](#,##0.000);-"/>
  </x:numFmts>
  <x:fonts count="24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64748B"/>
      <x:name val="Aptos"/>
    </x:font>
    <x:font>
      <x:b/>
      <x:sz val="12"/>
      <x:color rgb="FF1E293B"/>
      <x:name val="Aptos"/>
    </x:font>
    <x:font>
      <x:b/>
      <x:sz val="9"/>
      <x:color rgb="FFFFFFFF"/>
      <x:name val="Aptos"/>
    </x:font>
    <x:font>
      <x:sz val="9"/>
      <x:color rgb="FF1E293B"/>
      <x:name val="Aptos"/>
    </x:font>
    <x:font>
      <x:sz val="9"/>
      <x:color rgb="FF0000FF"/>
      <x:name val="Aptos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sz val="10"/>
      <x:color rgb="FF1E293B"/>
      <x:name val="Aptos"/>
    </x:font>
    <x:font>
      <x:sz val="9"/>
      <x:color rgb="FF008000"/>
      <x:name val="Aptos"/>
    </x:font>
    <x:font>
      <x:b/>
      <x:sz val="10"/>
      <x:color rgb="FF1E293B"/>
      <x:name val="Aptos"/>
    </x:font>
    <x:font>
      <x:b/>
      <x:sz val="10"/>
      <x:color rgb="FF008000"/>
      <x:name val="Aptos"/>
    </x:font>
    <x:font>
      <x:b/>
      <x:sz val="11"/>
      <x:color rgb="FF1E293B"/>
      <x:name val="Carlito"/>
    </x:font>
    <x:font>
      <x:b/>
      <x:sz val="9"/>
      <x:color rgb="FF1E293B"/>
      <x:name val="Aptos"/>
    </x:font>
    <x:font>
      <x:b/>
      <x:sz val="11"/>
      <x:color rgb="FF1E293B"/>
      <x:name val="Aptos"/>
    </x:font>
    <x:font>
      <x:sz val="9"/>
      <x:color rgb="FF000000"/>
      <x:name val="Aptos"/>
    </x:font>
    <x:font>
      <x:b/>
      <x:sz val="9"/>
      <x:color rgb="FF00800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FEF3C7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FEF3C7"/>
      </x:patternFill>
    </x:fill>
  </x:fills>
  <x:borders count="8">
    <x:border/>
    <x:border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double">
        <x:color rgb="FF334155"/>
      </x:top>
    </x:border>
    <x:border>
      <x:top style="thin">
        <x:color rgb="FF334155"/>
      </x:top>
    </x:border>
  </x:borders>
  <x:cellStyleXfs count="1">
    <x:xf numFmtId="0" fontId="0" fillId="0" borderId="0"/>
  </x:cellStyleXfs>
  <x:cellXfs count="2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2" fontId="6" fillId="6" borderId="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203" fontId="6" fillId="6" borderId="1" xfId="0" applyNumberFormat="1" applyFont="1" applyFill="1" applyBorder="1" applyAlignment="1">
      <x:alignment vertical="center"/>
    </x:xf>
    <x:xf numFmtId="203" fontId="6" fillId="6" borderId="3" xfId="0" applyNumberFormat="1" applyFont="1" applyFill="1" applyBorder="1" applyAlignment="1">
      <x:alignment vertical="center"/>
    </x:xf>
    <x:xf numFmtId="204" fontId="6" fillId="6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4" fontId="6" fillId="6" borderId="3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2" fontId="6" fillId="6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5" borderId="0" xfId="0" applyNumberFormat="1" applyFont="1" applyFill="1" applyBorder="1"/>
    <x:xf numFmtId="0" fontId="13" fillId="6" borderId="0" xfId="0" applyNumberFormat="1" applyFont="1" applyFill="1" applyBorder="1"/>
    <x:xf numFmtId="0" fontId="14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1" fontId="6" fillId="6" borderId="3" xfId="0" applyNumberFormat="1" applyFont="1" applyFill="1" applyBorder="1" applyAlignment="1">
      <x:alignment vertical="center" wrapText="1"/>
    </x:xf>
    <x:xf numFmtId="202" fontId="6" fillId="6" borderId="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3" fontId="6" fillId="6" borderId="1" xfId="0" applyNumberFormat="1" applyFont="1" applyFill="1" applyBorder="1" applyAlignment="1">
      <x:alignment vertical="center" wrapText="1"/>
    </x:xf>
    <x:xf numFmtId="204" fontId="6" fillId="6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203" fontId="6" fillId="6" borderId="3" xfId="0" applyNumberFormat="1" applyFont="1" applyFill="1" applyBorder="1" applyAlignment="1">
      <x:alignment vertical="center" wrapText="1"/>
    </x:xf>
    <x:xf numFmtId="204" fontId="6" fillId="6" borderId="3" xfId="0" applyNumberFormat="1" applyFont="1" applyFill="1" applyBorder="1" applyAlignment="1">
      <x:alignment vertical="center" wrapText="1"/>
    </x:xf>
    <x:xf numFmtId="204" fontId="5" fillId="0" borderId="3" xfId="0" applyNumberFormat="1" applyFont="1" applyFill="1" applyBorder="1" applyAlignment="1">
      <x:alignment vertical="center" wrapText="1"/>
    </x:xf>
    <x:xf numFmtId="202" fontId="6" fillId="6" borderId="1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205" fontId="6" fillId="6" borderId="1" xfId="0" applyNumberFormat="1" applyFont="1" applyFill="1" applyBorder="1" applyAlignment="1">
      <x:alignment vertical="center"/>
    </x:xf>
    <x:xf numFmtId="205" fontId="6" fillId="6" borderId="3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vertical="center"/>
    </x:xf>
    <x:xf numFmtId="205" fontId="6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205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/>
    </x:xf>
    <x:xf numFmtId="206" fontId="5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6" fontId="5" fillId="0" borderId="1" xfId="0" applyNumberFormat="1" applyFont="1" applyFill="1" applyBorder="1" applyAlignment="1">
      <x:alignment vertical="center" wrapText="1"/>
    </x:xf>
    <x:xf numFmtId="206" fontId="5" fillId="0" borderId="3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204" fontId="16" fillId="0" borderId="1" xfId="0" applyNumberFormat="1" applyFont="1" applyFill="1" applyBorder="1" applyAlignment="1">
      <x:alignment vertical="center"/>
    </x:xf>
    <x:xf numFmtId="204" fontId="16" fillId="0" borderId="3" xfId="0" applyNumberFormat="1" applyFont="1" applyFill="1" applyBorder="1" applyAlignment="1">
      <x:alignment vertical="center"/>
    </x:xf>
    <x:xf numFmtId="202" fontId="16" fillId="0" borderId="1" xfId="0" applyNumberFormat="1" applyFont="1" applyFill="1" applyBorder="1" applyAlignment="1">
      <x:alignment vertical="center"/>
    </x:xf>
    <x:xf numFmtId="202" fontId="16" fillId="0" borderId="3" xfId="0" applyNumberFormat="1" applyFont="1" applyFill="1" applyBorder="1" applyAlignment="1">
      <x:alignment vertical="center"/>
    </x:xf>
    <x:xf numFmtId="201" fontId="16" fillId="0" borderId="3" xfId="0" applyNumberFormat="1" applyFont="1" applyFill="1" applyBorder="1" applyAlignment="1">
      <x:alignment vertical="center"/>
    </x:xf>
    <x:xf numFmtId="204" fontId="16" fillId="0" borderId="1" xfId="0" applyNumberFormat="1" applyFont="1" applyFill="1" applyBorder="1" applyAlignment="1">
      <x:alignment vertical="center" wrapText="1"/>
    </x:xf>
    <x:xf numFmtId="202" fontId="16" fillId="0" borderId="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204" fontId="16" fillId="0" borderId="3" xfId="0" applyNumberFormat="1" applyFont="1" applyFill="1" applyBorder="1" applyAlignment="1">
      <x:alignment vertical="center" wrapText="1"/>
    </x:xf>
    <x:xf numFmtId="202" fontId="16" fillId="0" borderId="3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201" fontId="16" fillId="0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17" fillId="4" borderId="4" xfId="0" applyNumberFormat="1" applyFont="1" applyFill="1" applyBorder="1"/>
    <x:xf numFmtId="0" fontId="17" fillId="4" borderId="3" xfId="0" applyNumberFormat="1" applyFont="1" applyFill="1" applyBorder="1"/>
    <x:xf numFmtId="0" fontId="17" fillId="4" borderId="5" xfId="0" applyNumberFormat="1" applyFont="1" applyFill="1" applyBorder="1"/>
    <x:xf numFmtId="0" fontId="18" fillId="4" borderId="3" xfId="0" applyNumberFormat="1" applyFont="1" applyFill="1" applyBorder="1"/>
    <x:xf numFmtId="0" fontId="18" fillId="4" borderId="5" xfId="0" applyNumberFormat="1" applyFont="1" applyFill="1" applyBorder="1"/>
    <x:xf numFmtId="200" fontId="18" fillId="4" borderId="3" xfId="0" applyNumberFormat="1" applyFont="1" applyFill="1" applyBorder="1"/>
    <x:xf numFmtId="200" fontId="18" fillId="4" borderId="5" xfId="0" applyNumberFormat="1" applyFont="1" applyFill="1" applyBorder="1"/>
    <x:xf numFmtId="206" fontId="16" fillId="0" borderId="1" xfId="0" applyNumberFormat="1" applyFont="1" applyFill="1" applyBorder="1" applyAlignment="1">
      <x:alignment vertical="center"/>
    </x:xf>
    <x:xf numFmtId="206" fontId="16" fillId="0" borderId="3" xfId="0" applyNumberFormat="1" applyFont="1" applyFill="1" applyBorder="1" applyAlignment="1">
      <x:alignment vertical="center"/>
    </x:xf>
    <x:xf numFmtId="206" fontId="16" fillId="0" borderId="1" xfId="0" applyNumberFormat="1" applyFont="1" applyFill="1" applyBorder="1" applyAlignment="1">
      <x:alignment vertical="center" wrapText="1"/>
    </x:xf>
    <x:xf numFmtId="206" fontId="16" fillId="0" borderId="3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/>
    <x:xf numFmtId="0" fontId="20" fillId="4" borderId="0" xfId="0" applyNumberFormat="1" applyFont="1" applyFill="1" applyBorder="1"/>
    <x:xf numFmtId="0" fontId="20" fillId="4" borderId="1" xfId="0" applyNumberFormat="1" applyFont="1" applyFill="1" applyBorder="1"/>
    <x:xf numFmtId="0" fontId="20" fillId="4" borderId="3" xfId="0" applyNumberFormat="1" applyFont="1" applyFill="1" applyBorder="1"/>
    <x:xf numFmtId="0" fontId="20" fillId="4" borderId="1" xfId="0" applyNumberFormat="1" applyFont="1" applyFill="1" applyBorder="1" applyAlignment="1">
      <x:alignment vertical="center"/>
    </x:xf>
    <x:xf numFmtId="0" fontId="20" fillId="4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0" fontId="19" fillId="4" borderId="6" xfId="0" applyNumberFormat="1" applyFont="1" applyFill="1" applyBorder="1"/>
    <x:xf numFmtId="206" fontId="6" fillId="6" borderId="1" xfId="0" applyNumberFormat="1" applyFont="1" applyFill="1" applyBorder="1" applyAlignment="1">
      <x:alignment vertical="center"/>
    </x:xf>
    <x:xf numFmtId="206" fontId="6" fillId="6" borderId="3" xfId="0" applyNumberFormat="1" applyFont="1" applyFill="1" applyBorder="1" applyAlignment="1">
      <x:alignment vertical="center"/>
    </x:xf>
    <x:xf numFmtId="206" fontId="19" fillId="4" borderId="6" xfId="0" applyNumberFormat="1" applyFont="1" applyFill="1" applyBorder="1"/>
    <x:xf numFmtId="204" fontId="19" fillId="4" borderId="6" xfId="0" applyNumberFormat="1" applyFont="1" applyFill="1" applyBorder="1"/>
    <x:xf numFmtId="202" fontId="5" fillId="0" borderId="1" xfId="0" applyNumberFormat="1" applyFont="1" applyFill="1" applyBorder="1" applyAlignment="1">
      <x:alignment vertical="center"/>
    </x:xf>
    <x:xf numFmtId="202" fontId="19" fillId="4" borderId="6" xfId="0" applyNumberFormat="1" applyFont="1" applyFill="1" applyBorder="1"/>
    <x:xf numFmtId="201" fontId="5" fillId="0" borderId="3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/>
    <x:xf numFmtId="0" fontId="17" fillId="4" borderId="7" xfId="0" applyNumberFormat="1" applyFont="1" applyFill="1" applyBorder="1"/>
    <x:xf numFmtId="202" fontId="17" fillId="4" borderId="0" xfId="0" applyNumberFormat="1" applyFont="1" applyFill="1" applyBorder="1"/>
    <x:xf numFmtId="204" fontId="17" fillId="4" borderId="7" xfId="0" applyNumberFormat="1" applyFont="1" applyFill="1" applyBorder="1"/>
    <x:xf numFmtId="204" fontId="17" fillId="4" borderId="0" xfId="0" applyNumberFormat="1" applyFont="1" applyFill="1" applyBorder="1"/>
    <x:xf numFmtId="202" fontId="17" fillId="4" borderId="7" xfId="0" applyNumberFormat="1" applyFont="1" applyFill="1" applyBorder="1"/>
    <x:xf numFmtId="0" fontId="20" fillId="4" borderId="1" xfId="0" applyNumberFormat="1" applyFont="1" applyFill="1" applyBorder="1" applyAlignment="1">
      <x:alignment vertical="center" wrapText="1"/>
    </x:xf>
    <x:xf numFmtId="0" fontId="20" fillId="4" borderId="3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206" fontId="6" fillId="6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6" fontId="6" fillId="6" borderId="3" xfId="0" applyNumberFormat="1" applyFont="1" applyFill="1" applyBorder="1" applyAlignment="1">
      <x:alignment vertical="center" wrapText="1"/>
    </x:xf>
    <x:xf numFmtId="0" fontId="19" fillId="4" borderId="6" xfId="0" applyNumberFormat="1" applyFont="1" applyFill="1" applyBorder="1" applyAlignment="1">
      <x:alignment wrapText="1"/>
    </x:xf>
    <x:xf numFmtId="206" fontId="19" fillId="4" borderId="6" xfId="0" applyNumberFormat="1" applyFont="1" applyFill="1" applyBorder="1" applyAlignment="1">
      <x:alignment wrapText="1"/>
    </x:xf>
    <x:xf numFmtId="204" fontId="19" fillId="4" borderId="6" xfId="0" applyNumberFormat="1" applyFont="1" applyFill="1" applyBorder="1" applyAlignment="1">
      <x:alignment wrapText="1"/>
    </x:xf>
    <x:xf numFmtId="202" fontId="19" fillId="4" borderId="6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vertical="center" wrapText="1"/>
    </x:xf>
    <x:xf numFmtId="0" fontId="17" fillId="4" borderId="7" xfId="0" applyNumberFormat="1" applyFont="1" applyFill="1" applyBorder="1" applyAlignment="1">
      <x:alignment wrapText="1"/>
    </x:xf>
    <x:xf numFmtId="204" fontId="17" fillId="4" borderId="7" xfId="0" applyNumberFormat="1" applyFont="1" applyFill="1" applyBorder="1" applyAlignment="1">
      <x:alignment wrapText="1"/>
    </x:xf>
    <x:xf numFmtId="202" fontId="17" fillId="4" borderId="7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wrapText="1"/>
    </x:xf>
    <x:xf numFmtId="202" fontId="17" fillId="4" borderId="0" xfId="0" applyNumberFormat="1" applyFont="1" applyFill="1" applyBorder="1" applyAlignment="1">
      <x:alignment wrapText="1"/>
    </x:xf>
    <x:xf numFmtId="204" fontId="17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7" fillId="4" borderId="4" xfId="0" applyNumberFormat="1" applyFont="1" applyFill="1" applyBorder="1" applyAlignment="1">
      <x:alignment vertical="center"/>
    </x:xf>
    <x:xf numFmtId="0" fontId="17" fillId="4" borderId="3" xfId="0" applyNumberFormat="1" applyFont="1" applyFill="1" applyBorder="1" applyAlignment="1">
      <x:alignment vertical="center"/>
    </x:xf>
    <x:xf numFmtId="0" fontId="18" fillId="4" borderId="3" xfId="0" applyNumberFormat="1" applyFont="1" applyFill="1" applyBorder="1" applyAlignment="1">
      <x:alignment vertical="center"/>
    </x:xf>
    <x:xf numFmtId="200" fontId="18" fillId="4" borderId="3" xfId="0" applyNumberFormat="1" applyFont="1" applyFill="1" applyBorder="1" applyAlignment="1">
      <x:alignment vertical="center"/>
    </x:xf>
    <x:xf numFmtId="200" fontId="18" fillId="4" borderId="5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21" fillId="4" borderId="6" xfId="0" applyNumberFormat="1" applyFont="1" applyFill="1" applyBorder="1" applyAlignment="1">
      <x:alignment wrapText="1"/>
    </x:xf>
    <x:xf numFmtId="206" fontId="21" fillId="4" borderId="6" xfId="0" applyNumberFormat="1" applyFont="1" applyFill="1" applyBorder="1" applyAlignment="1">
      <x:alignment wrapText="1"/>
    </x:xf>
    <x:xf numFmtId="204" fontId="21" fillId="4" borderId="6" xfId="0" applyNumberFormat="1" applyFont="1" applyFill="1" applyBorder="1" applyAlignment="1">
      <x:alignment wrapText="1"/>
    </x:xf>
    <x:xf numFmtId="202" fontId="21" fillId="4" borderId="6" xfId="0" applyNumberFormat="1" applyFont="1" applyFill="1" applyBorder="1" applyAlignment="1">
      <x:alignment wrapText="1"/>
    </x:xf>
    <x:xf numFmtId="0" fontId="21" fillId="4" borderId="6" xfId="0" applyNumberFormat="1" applyFont="1" applyFill="1" applyBorder="1" applyAlignment="1">
      <x:alignment vertical="center" wrapText="1"/>
    </x:xf>
    <x:xf numFmtId="206" fontId="21" fillId="4" borderId="6" xfId="0" applyNumberFormat="1" applyFont="1" applyFill="1" applyBorder="1" applyAlignment="1">
      <x:alignment vertical="center" wrapText="1"/>
    </x:xf>
    <x:xf numFmtId="204" fontId="21" fillId="4" borderId="6" xfId="0" applyNumberFormat="1" applyFont="1" applyFill="1" applyBorder="1" applyAlignment="1">
      <x:alignment vertical="center" wrapText="1"/>
    </x:xf>
    <x:xf numFmtId="202" fontId="21" fillId="4" borderId="6" xfId="0" applyNumberFormat="1" applyFont="1" applyFill="1" applyBorder="1" applyAlignment="1">
      <x:alignment vertical="center" wrapText="1"/>
    </x:xf>
    <x:xf numFmtId="0" fontId="17" fillId="4" borderId="7" xfId="0" applyNumberFormat="1" applyFont="1" applyFill="1" applyBorder="1" applyAlignment="1">
      <x:alignment vertical="center" wrapText="1"/>
    </x:xf>
    <x:xf numFmtId="204" fontId="17" fillId="4" borderId="7" xfId="0" applyNumberFormat="1" applyFont="1" applyFill="1" applyBorder="1" applyAlignment="1">
      <x:alignment vertical="center" wrapText="1"/>
    </x:xf>
    <x:xf numFmtId="202" fontId="17" fillId="4" borderId="7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 wrapText="1"/>
    </x:xf>
    <x:xf numFmtId="202" fontId="17" fillId="4" borderId="0" xfId="0" applyNumberFormat="1" applyFont="1" applyFill="1" applyBorder="1" applyAlignment="1">
      <x:alignment vertical="center" wrapText="1"/>
    </x:xf>
    <x:xf numFmtId="204" fontId="17" fillId="4" borderId="0" xfId="0" applyNumberFormat="1" applyFont="1" applyFill="1" applyBorder="1" applyAlignment="1">
      <x:alignment vertical="center" wrapText="1"/>
    </x:xf>
    <x:xf numFmtId="0" fontId="21" fillId="4" borderId="0" xfId="0" applyNumberFormat="1" applyFont="1" applyFill="1" applyBorder="1"/>
    <x:xf numFmtId="204" fontId="11" fillId="0" borderId="0" xfId="0" applyNumberFormat="1" applyFont="1" applyFill="1" applyBorder="1"/>
    <x:xf numFmtId="0" fontId="21" fillId="4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2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horizont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 applyAlignment="1">
      <x:alignment vertical="center"/>
    </x:xf>
    <x:xf numFmtId="0" fontId="5" fillId="11" borderId="3" xfId="0" applyNumberFormat="1" applyFont="1" applyFill="1" applyBorder="1" applyAlignment="1">
      <x:alignment vertical="center"/>
    </x:xf>
    <x:xf numFmtId="0" fontId="6" fillId="11" borderId="1" xfId="0" applyNumberFormat="1" applyFont="1" applyFill="1" applyBorder="1" applyAlignment="1">
      <x:alignment vertical="center"/>
    </x:xf>
    <x:xf numFmtId="0" fontId="6" fillId="11" borderId="3" xfId="0" applyNumberFormat="1" applyFont="1" applyFill="1" applyBorder="1" applyAlignment="1">
      <x:alignment vertical="center"/>
    </x:xf>
    <x:xf numFmtId="0" fontId="22" fillId="0" borderId="1" xfId="0" applyNumberFormat="1" applyFont="1" applyFill="1" applyBorder="1" applyAlignment="1">
      <x:alignment vertical="center"/>
    </x:xf>
    <x:xf numFmtId="0" fontId="22" fillId="0" borderId="3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7" fontId="5" fillId="0" borderId="3" xfId="0" applyNumberFormat="1" applyFont="1" applyFill="1" applyBorder="1" applyAlignment="1">
      <x:alignment vertical="center"/>
    </x:xf>
    <x:xf numFmtId="204" fontId="6" fillId="11" borderId="1" xfId="0" applyNumberFormat="1" applyFont="1" applyFill="1" applyBorder="1" applyAlignment="1">
      <x:alignment vertical="center"/>
    </x:xf>
    <x:xf numFmtId="204" fontId="22" fillId="0" borderId="1" xfId="0" applyNumberFormat="1" applyFont="1" applyFill="1" applyBorder="1" applyAlignment="1">
      <x:alignment vertical="center"/>
    </x:xf>
    <x:xf numFmtId="204" fontId="6" fillId="11" borderId="3" xfId="0" applyNumberFormat="1" applyFont="1" applyFill="1" applyBorder="1" applyAlignment="1">
      <x:alignment vertical="center"/>
    </x:xf>
    <x:xf numFmtId="204" fontId="22" fillId="0" borderId="3" xfId="0" applyNumberFormat="1" applyFont="1" applyFill="1" applyBorder="1" applyAlignment="1">
      <x:alignment vertical="center"/>
    </x:xf>
    <x:xf numFmtId="202" fontId="6" fillId="11" borderId="1" xfId="0" applyNumberFormat="1" applyFont="1" applyFill="1" applyBorder="1" applyAlignment="1">
      <x:alignment vertical="center"/>
    </x:xf>
    <x:xf numFmtId="202" fontId="6" fillId="11" borderId="3" xfId="0" applyNumberFormat="1" applyFont="1" applyFill="1" applyBorder="1" applyAlignment="1">
      <x:alignment vertical="center"/>
    </x:xf>
    <x:xf numFmtId="200" fontId="6" fillId="11" borderId="1" xfId="0" applyNumberFormat="1" applyFont="1" applyFill="1" applyBorder="1" applyAlignment="1">
      <x:alignment vertical="center"/>
    </x:xf>
    <x:xf numFmtId="200" fontId="6" fillId="11" borderId="3" xfId="0" applyNumberFormat="1" applyFont="1" applyFill="1" applyBorder="1" applyAlignment="1">
      <x:alignment vertical="center"/>
    </x:xf>
    <x:xf numFmtId="208" fontId="16" fillId="0" borderId="1" xfId="0" applyNumberFormat="1" applyFont="1" applyFill="1" applyBorder="1" applyAlignment="1">
      <x:alignment vertical="center"/>
    </x:xf>
    <x:xf numFmtId="208" fontId="16" fillId="0" borderId="3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wrapText="1"/>
    </x:xf>
    <x:xf numFmtId="207" fontId="5" fillId="0" borderId="1" xfId="0" applyNumberFormat="1" applyFont="1" applyFill="1" applyBorder="1" applyAlignment="1">
      <x:alignment vertical="center" wrapText="1"/>
    </x:xf>
    <x:xf numFmtId="204" fontId="6" fillId="11" borderId="1" xfId="0" applyNumberFormat="1" applyFont="1" applyFill="1" applyBorder="1" applyAlignment="1">
      <x:alignment vertical="center" wrapText="1"/>
    </x:xf>
    <x:xf numFmtId="202" fontId="6" fillId="11" borderId="1" xfId="0" applyNumberFormat="1" applyFont="1" applyFill="1" applyBorder="1" applyAlignment="1">
      <x:alignment vertical="center" wrapText="1"/>
    </x:xf>
    <x:xf numFmtId="204" fontId="22" fillId="0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200" fontId="6" fillId="11" borderId="1" xfId="0" applyNumberFormat="1" applyFont="1" applyFill="1" applyBorder="1" applyAlignment="1">
      <x:alignment vertical="center" wrapText="1"/>
    </x:xf>
    <x:xf numFmtId="208" fontId="16" fillId="0" borderId="1" xfId="0" applyNumberFormat="1" applyFont="1" applyFill="1" applyBorder="1" applyAlignment="1">
      <x:alignment vertical="center" wrapText="1"/>
    </x:xf>
    <x:xf numFmtId="207" fontId="5" fillId="0" borderId="3" xfId="0" applyNumberFormat="1" applyFont="1" applyFill="1" applyBorder="1" applyAlignment="1">
      <x:alignment vertical="center" wrapText="1"/>
    </x:xf>
    <x:xf numFmtId="204" fontId="6" fillId="11" borderId="3" xfId="0" applyNumberFormat="1" applyFont="1" applyFill="1" applyBorder="1" applyAlignment="1">
      <x:alignment vertical="center" wrapText="1"/>
    </x:xf>
    <x:xf numFmtId="202" fontId="6" fillId="11" borderId="3" xfId="0" applyNumberFormat="1" applyFont="1" applyFill="1" applyBorder="1" applyAlignment="1">
      <x:alignment vertical="center" wrapText="1"/>
    </x:xf>
    <x:xf numFmtId="204" fontId="22" fillId="0" borderId="3" xfId="0" applyNumberFormat="1" applyFont="1" applyFill="1" applyBorder="1" applyAlignment="1">
      <x:alignment vertical="center" wrapText="1"/>
    </x:xf>
    <x:xf numFmtId="0" fontId="6" fillId="11" borderId="3" xfId="0" applyNumberFormat="1" applyFont="1" applyFill="1" applyBorder="1" applyAlignment="1">
      <x:alignment vertical="center" wrapText="1"/>
    </x:xf>
    <x:xf numFmtId="200" fontId="6" fillId="11" borderId="3" xfId="0" applyNumberFormat="1" applyFont="1" applyFill="1" applyBorder="1" applyAlignment="1">
      <x:alignment vertical="center" wrapText="1"/>
    </x:xf>
    <x:xf numFmtId="208" fontId="16" fillId="0" borderId="3" xfId="0" applyNumberFormat="1" applyFont="1" applyFill="1" applyBorder="1" applyAlignment="1">
      <x:alignment vertical="center" wrapText="1"/>
    </x:xf>
    <x:xf numFmtId="207" fontId="16" fillId="0" borderId="1" xfId="0" applyNumberFormat="1" applyFont="1" applyFill="1" applyBorder="1" applyAlignment="1">
      <x:alignment vertical="center"/>
    </x:xf>
    <x:xf numFmtId="207" fontId="16" fillId="0" borderId="3" xfId="0" applyNumberFormat="1" applyFont="1" applyFill="1" applyBorder="1" applyAlignment="1">
      <x:alignment vertical="center"/>
    </x:xf>
    <x:xf numFmtId="209" fontId="6" fillId="11" borderId="1" xfId="0" applyNumberFormat="1" applyFont="1" applyFill="1" applyBorder="1" applyAlignment="1">
      <x:alignment vertical="center"/>
    </x:xf>
    <x:xf numFmtId="209" fontId="6" fillId="11" borderId="3" xfId="0" applyNumberFormat="1" applyFont="1" applyFill="1" applyBorder="1" applyAlignment="1">
      <x:alignment vertical="center"/>
    </x:xf>
    <x:xf numFmtId="200" fontId="16" fillId="0" borderId="1" xfId="0" applyNumberFormat="1" applyFont="1" applyFill="1" applyBorder="1" applyAlignment="1">
      <x:alignment vertical="center"/>
    </x:xf>
    <x:xf numFmtId="200" fontId="16" fillId="0" borderId="3" xfId="0" applyNumberFormat="1" applyFont="1" applyFill="1" applyBorder="1" applyAlignment="1">
      <x:alignment vertical="center"/>
    </x:xf>
    <x:xf numFmtId="207" fontId="16" fillId="0" borderId="1" xfId="0" applyNumberFormat="1" applyFont="1" applyFill="1" applyBorder="1" applyAlignment="1">
      <x:alignment vertical="center" wrapText="1"/>
    </x:xf>
    <x:xf numFmtId="209" fontId="6" fillId="11" borderId="1" xfId="0" applyNumberFormat="1" applyFont="1" applyFill="1" applyBorder="1" applyAlignment="1">
      <x:alignment vertical="center" wrapText="1"/>
    </x:xf>
    <x:xf numFmtId="200" fontId="16" fillId="0" borderId="1" xfId="0" applyNumberFormat="1" applyFont="1" applyFill="1" applyBorder="1" applyAlignment="1">
      <x:alignment vertical="center" wrapText="1"/>
    </x:xf>
    <x:xf numFmtId="207" fontId="16" fillId="0" borderId="3" xfId="0" applyNumberFormat="1" applyFont="1" applyFill="1" applyBorder="1" applyAlignment="1">
      <x:alignment vertical="center" wrapText="1"/>
    </x:xf>
    <x:xf numFmtId="209" fontId="6" fillId="11" borderId="3" xfId="0" applyNumberFormat="1" applyFont="1" applyFill="1" applyBorder="1" applyAlignment="1">
      <x:alignment vertical="center" wrapText="1"/>
    </x:xf>
    <x:xf numFmtId="200" fontId="16" fillId="0" borderId="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23" fillId="11" borderId="0" xfId="0" applyNumberFormat="1" applyFont="1" applyFill="1" applyBorder="1"/>
    <x:xf numFmtId="0" fontId="23" fillId="11" borderId="2" xfId="0" applyNumberFormat="1" applyFont="1" applyFill="1" applyBorder="1"/>
    <x:xf numFmtId="0" fontId="23" fillId="11" borderId="2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2"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b8d23390a4def" /><Relationship Type="http://schemas.openxmlformats.org/officeDocument/2006/relationships/theme" Target="/xl/theme/theme1.xml" Id="R90aeb1aa4b6147a9" /><Relationship Type="http://schemas.openxmlformats.org/officeDocument/2006/relationships/sharedStrings" Target="/xl/sharedStrings.xml" Id="R927ed938dae74ff1" /><Relationship Type="http://schemas.openxmlformats.org/officeDocument/2006/relationships/worksheet" Target="/xl/worksheets/sheet1.xml" Id="Re4609ee942134ad6" /><Relationship Type="http://schemas.openxmlformats.org/officeDocument/2006/relationships/worksheet" Target="/xl/worksheets/sheet2.xml" Id="R1e871c0f49714d07" /><Relationship Type="http://schemas.openxmlformats.org/officeDocument/2006/relationships/worksheet" Target="/xl/worksheets/sheet3.xml" Id="R5d0c446eada14c17" /><Relationship Type="http://schemas.openxmlformats.org/officeDocument/2006/relationships/worksheet" Target="/xl/worksheets/sheet4.xml" Id="R6c24c881166942ba" /><Relationship Type="http://schemas.openxmlformats.org/officeDocument/2006/relationships/worksheet" Target="/xl/worksheets/sheet5.xml" Id="Ra84904d1cb7e41da" /><Relationship Type="http://schemas.openxmlformats.org/officeDocument/2006/relationships/worksheet" Target="/xl/worksheets/sheet6.xml" Id="R81979c7070cc4786" /><Relationship Type="http://schemas.openxmlformats.org/officeDocument/2006/relationships/worksheet" Target="/xl/worksheets/sheet7.xml" Id="Ra154da76d06645f9" /><Relationship Type="http://schemas.openxmlformats.org/officeDocument/2006/relationships/worksheet" Target="/xl/worksheets/sheet8.xml" Id="R409edba34b0241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0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40" t="str">
        <x:v>VESPER FRAMES — ŘÍZENÁ CENOTVORBA PANELŮ A SLUŽEB V2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25" customHeight="1">
      <x:c r="A2" s="6" t="str">
        <x:v>Jedna nákladová pravda, dohledatelné zdroje, správná marže a technicky blokované slevy do potvrzení výrobních sazeb.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</x:row>
    <x:row r="4" ht="24" customHeight="1">
      <x:c r="A4" s="148" t="str">
        <x:v>MODEL STATUS</x:v>
      </x:c>
      <x:c r="B4" s="149"/>
      <x:c r="C4" s="150" t="str">
        <x:f>'2. Vstupy'!$B$13</x:f>
        <x:v>PROVIZORNÍ – SLEVY BLOKOVÁNY</x:v>
      </x:c>
      <x:c r="D4" s="150"/>
      <x:c r="E4" s="149" t="str">
        <x:v>NÁKLADOVÁ VERZE</x:v>
      </x:c>
      <x:c r="F4" s="149"/>
      <x:c r="G4" s="150" t="str">
        <x:f>'2. Vstupy'!$B$6</x:f>
        <x:v>V2.1-2026-08-04</x:v>
      </x:c>
      <x:c r="H4" s="150"/>
      <x:c r="I4" s="149" t="str">
        <x:v>SLEVY</x:v>
      </x:c>
      <x:c r="J4" s="149"/>
      <x:c r="K4" s="150" t="str">
        <x:f>'2. Vstupy'!$B$14</x:f>
        <x:v>BLOKOVÁNO</x:v>
      </x:c>
      <x:c r="L4" s="150"/>
      <x:c r="M4" s="149" t="str">
        <x:v>AKTUALIZACE</x:v>
      </x:c>
      <x:c r="N4" s="149"/>
      <x:c r="O4" s="151" t="n">
        <x:f>'2. Vstupy'!$B$7</x:f>
        <x:v>46238</x:v>
      </x:c>
      <x:c r="P4" s="152"/>
    </x:row>
    <x:row r="5" ht="24" customHeight="1">
      <x:c r="A5" s="147"/>
      <x:c r="B5" s="147"/>
      <x:c r="C5" s="147"/>
      <x:c r="D5" s="147"/>
      <x:c r="E5" s="147"/>
      <x:c r="F5" s="147"/>
      <x:c r="G5" s="147"/>
      <x:c r="H5" s="147"/>
      <x:c r="I5" s="147"/>
      <x:c r="J5" s="147"/>
      <x:c r="K5" s="147"/>
      <x:c r="L5" s="147"/>
      <x:c r="M5" s="147"/>
      <x:c r="N5" s="147"/>
      <x:c r="O5" s="147"/>
      <x:c r="P5" s="147"/>
    </x:row>
    <x:row r="6">
      <x:c r="A6" s="74" t="str">
        <x:v>Pracovní pravidlo: materiálová cena vzniká výhradně v listu 8. Materiály. Dokud nejsou potvrzeny všechny materiály, výrobní sazby, normy a služby, model zůstává PROVIZORNÍ a nepovolí žádnou slevu.</x:v>
      </x:c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</x:row>
    <x:row r="7">
      <x:c r="A7" s="153"/>
      <x:c r="B7" s="153"/>
      <x:c r="C7" s="153"/>
      <x:c r="D7" s="153"/>
      <x:c r="E7" s="153"/>
      <x:c r="F7" s="153"/>
      <x:c r="G7" s="153"/>
      <x:c r="H7" s="153"/>
      <x:c r="I7" s="153"/>
      <x:c r="J7" s="153"/>
      <x:c r="K7" s="153"/>
      <x:c r="L7" s="153"/>
      <x:c r="M7" s="153"/>
      <x:c r="N7" s="153"/>
      <x:c r="O7" s="153"/>
      <x:c r="P7" s="153"/>
    </x:row>
    <x:row r="8">
      <x:c r="A8" s="52" t="str">
        <x:v>1.1 SOUHRN TYPOVÝCH PANELŮ</x:v>
      </x:c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</x:row>
    <x:row r="9">
      <x:c r="A9" s="16" t="str">
        <x:v>Kód</x:v>
      </x:c>
      <x:c r="B9" s="16" t="str">
        <x:v>Panel</x:v>
      </x:c>
      <x:c r="C9" s="16" t="str">
        <x:v>Tloušťka mm</x:v>
      </x:c>
      <x:c r="D9" s="16" t="str">
        <x:v>Materiál</x:v>
      </x:c>
      <x:c r="E9" s="16" t="str">
        <x:v>Spotřebák</x:v>
      </x:c>
      <x:c r="F9" s="16" t="str">
        <x:v>Elektro/vývrty</x:v>
      </x:c>
      <x:c r="G9" s="16" t="str">
        <x:v>Dílna</x:v>
      </x:c>
      <x:c r="H9" s="16" t="str">
        <x:v>Přímý náklad</x:v>
      </x:c>
      <x:c r="I9" s="16" t="str">
        <x:v>Cílová marže</x:v>
      </x:c>
      <x:c r="J9" s="16" t="str">
        <x:v>Cílová cena</x:v>
      </x:c>
      <x:c r="K9" s="16" t="str">
        <x:v>Benchmark medián</x:v>
      </x:c>
      <x:c r="L9" s="16" t="str">
        <x:v>Odchylka</x:v>
      </x:c>
      <x:c r="M9" s="16" t="str">
        <x:v>Min. marže</x:v>
      </x:c>
      <x:c r="N9" s="16" t="str">
        <x:v>Max. sleva</x:v>
      </x:c>
      <x:c r="O9" s="16" t="str">
        <x:v>Náklady</x:v>
      </x:c>
      <x:c r="P9" s="16" t="str">
        <x:v>Slevy</x:v>
      </x:c>
    </x:row>
    <x:row r="10">
      <x:c r="A10" s="89" t="str">
        <x:f>'3. Ceník'!A6</x:f>
        <x:v>OS_VF_01</x:v>
      </x:c>
      <x:c r="B10" s="89" t="str">
        <x:f>'3. Ceník'!B6</x:f>
        <x:v>Obvodová stěna kontaktní (DNK 1.1)</x:v>
      </x:c>
      <x:c r="C10" s="106" t="n">
        <x:f>'3. Ceník'!C6</x:f>
        <x:v>358.5</x:v>
      </x:c>
      <x:c r="D10" s="87" t="n">
        <x:f>'3. Ceník'!D6</x:f>
        <x:v>2345.8</x:v>
      </x:c>
      <x:c r="E10" s="87" t="n">
        <x:f>'3. Ceník'!E6</x:f>
        <x:v>117.29000000000002</x:v>
      </x:c>
      <x:c r="F10" s="87" t="n">
        <x:f>'3. Ceník'!F6</x:f>
        <x:v>70.37400000000001</x:v>
      </x:c>
      <x:c r="G10" s="87" t="n">
        <x:f>'3. Ceník'!G6</x:f>
        <x:v>351.87</x:v>
      </x:c>
      <x:c r="H10" s="87" t="n">
        <x:f>'3. Ceník'!H6</x:f>
        <x:v>2885.334</x:v>
      </x:c>
      <x:c r="I10" s="88" t="n">
        <x:f>'3. Ceník'!I6</x:f>
        <x:v>0.35</x:v>
      </x:c>
      <x:c r="J10" s="87" t="n">
        <x:f>'3. Ceník'!J6</x:f>
        <x:v>4438.975384615384</x:v>
      </x:c>
      <x:c r="K10" s="87" t="n">
        <x:f>'3. Ceník'!K6</x:f>
        <x:v>6760.8</x:v>
      </x:c>
      <x:c r="L10" s="88" t="n">
        <x:f>'3. Ceník'!L6</x:f>
        <x:v>-0.3434245378334836</x:v>
      </x:c>
      <x:c r="M10" s="88" t="n">
        <x:f>'3. Ceník'!M6</x:f>
        <x:v>0.2</x:v>
      </x:c>
      <x:c r="N10" s="88" t="n">
        <x:f>'3. Ceník'!N6</x:f>
        <x:v>0.1875000000000001</x:v>
      </x:c>
      <x:c r="O10" s="89" t="str">
        <x:f>'3. Ceník'!O6</x:f>
        <x:v>PROVIZORNÍ</x:v>
      </x:c>
      <x:c r="P10" s="89" t="str">
        <x:f>'3. Ceník'!P6</x:f>
        <x:v>BLOKOVÁNO</x:v>
      </x:c>
    </x:row>
    <x:row r="11">
      <x:c r="A11" s="92" t="str">
        <x:f>'3. Ceník'!A7</x:f>
        <x:v>OS_VF_02</x:v>
      </x:c>
      <x:c r="B11" s="92" t="str">
        <x:f>'3. Ceník'!B7</x:f>
        <x:v>Obvodová stěna s modřínovým obkladem (DNK 1.2)</x:v>
      </x:c>
      <x:c r="C11" s="107" t="n">
        <x:f>'3. Ceník'!C7</x:f>
        <x:v>431</x:v>
      </x:c>
      <x:c r="D11" s="90" t="n">
        <x:f>'3. Ceník'!D7</x:f>
        <x:v>3224.5</x:v>
      </x:c>
      <x:c r="E11" s="90" t="n">
        <x:f>'3. Ceník'!E7</x:f>
        <x:v>161.22500000000002</x:v>
      </x:c>
      <x:c r="F11" s="90" t="n">
        <x:f>'3. Ceník'!F7</x:f>
        <x:v>96.735</x:v>
      </x:c>
      <x:c r="G11" s="90" t="n">
        <x:f>'3. Ceník'!G7</x:f>
        <x:v>483.67499999999995</x:v>
      </x:c>
      <x:c r="H11" s="90" t="n">
        <x:f>'3. Ceník'!H7</x:f>
        <x:v>3966.135</x:v>
      </x:c>
      <x:c r="I11" s="91" t="n">
        <x:f>'3. Ceník'!I7</x:f>
        <x:v>0.35</x:v>
      </x:c>
      <x:c r="J11" s="90" t="n">
        <x:f>'3. Ceník'!J7</x:f>
        <x:v>6101.746153846154</x:v>
      </x:c>
      <x:c r="K11" s="90" t="n">
        <x:f>'3. Ceník'!K7</x:f>
        <x:v>10631.685</x:v>
      </x:c>
      <x:c r="L11" s="91" t="n">
        <x:f>'3. Ceník'!L7</x:f>
        <x:v>-0.4260791065718976</x:v>
      </x:c>
      <x:c r="M11" s="91" t="n">
        <x:f>'3. Ceník'!M7</x:f>
        <x:v>0.2</x:v>
      </x:c>
      <x:c r="N11" s="91" t="n">
        <x:f>'3. Ceník'!N7</x:f>
        <x:v>0.1875</x:v>
      </x:c>
      <x:c r="O11" s="92" t="str">
        <x:f>'3. Ceník'!O7</x:f>
        <x:v>PROVIZORNÍ</x:v>
      </x:c>
      <x:c r="P11" s="92" t="str">
        <x:f>'3. Ceník'!P7</x:f>
        <x:v>BLOKOVÁNO</x:v>
      </x:c>
    </x:row>
    <x:row r="12">
      <x:c r="A12" s="92" t="str">
        <x:f>'3. Ceník'!A8</x:f>
        <x:v>OS_VF_03</x:v>
      </x:c>
      <x:c r="B12" s="92" t="str">
        <x:f>'3. Ceník'!B8</x:f>
        <x:v>Obvodová stěna Thermofasáda DP1</x:v>
      </x:c>
      <x:c r="C12" s="107" t="n">
        <x:f>'3. Ceník'!C8</x:f>
        <x:v>368.5</x:v>
      </x:c>
      <x:c r="D12" s="90" t="n">
        <x:f>'3. Ceník'!D8</x:f>
        <x:v>3395.2000000000003</x:v>
      </x:c>
      <x:c r="E12" s="90" t="n">
        <x:f>'3. Ceník'!E8</x:f>
        <x:v>169.76000000000002</x:v>
      </x:c>
      <x:c r="F12" s="90" t="n">
        <x:f>'3. Ceník'!F8</x:f>
        <x:v>101.85600000000001</x:v>
      </x:c>
      <x:c r="G12" s="90" t="n">
        <x:f>'3. Ceník'!G8</x:f>
        <x:v>509.28000000000003</x:v>
      </x:c>
      <x:c r="H12" s="90" t="n">
        <x:f>'3. Ceník'!H8</x:f>
        <x:v>4176.0960000000005</x:v>
      </x:c>
      <x:c r="I12" s="91" t="n">
        <x:f>'3. Ceník'!I8</x:f>
        <x:v>0.35</x:v>
      </x:c>
      <x:c r="J12" s="90" t="n">
        <x:f>'3. Ceník'!J8</x:f>
        <x:v>6424.763076923077</x:v>
      </x:c>
      <x:c r="K12" s="90" t="n">
        <x:f>'3. Ceník'!K8</x:f>
        <x:v>8799.54</x:v>
      </x:c>
      <x:c r="L12" s="91" t="n">
        <x:f>'3. Ceník'!L8</x:f>
        <x:v>-0.26987512109461664</x:v>
      </x:c>
      <x:c r="M12" s="91" t="n">
        <x:f>'3. Ceník'!M8</x:f>
        <x:v>0.2</x:v>
      </x:c>
      <x:c r="N12" s="91" t="n">
        <x:f>'3. Ceník'!N8</x:f>
        <x:v>0.1875</x:v>
      </x:c>
      <x:c r="O12" s="92" t="str">
        <x:f>'3. Ceník'!O8</x:f>
        <x:v>PROVIZORNÍ</x:v>
      </x:c>
      <x:c r="P12" s="92" t="str">
        <x:f>'3. Ceník'!P8</x:f>
        <x:v>BLOKOVÁNO</x:v>
      </x:c>
    </x:row>
    <x:row r="13">
      <x:c r="A13" s="92" t="str">
        <x:f>'3. Ceník'!A9</x:f>
        <x:v>NS_VF_01</x:v>
      </x:c>
      <x:c r="B13" s="92" t="str">
        <x:f>'3. Ceník'!B9</x:f>
        <x:v>Vnitřní nosná stěna 170 mm</x:v>
      </x:c>
      <x:c r="C13" s="107" t="n">
        <x:f>'3. Ceník'!C9</x:f>
        <x:v>170</x:v>
      </x:c>
      <x:c r="D13" s="90" t="n">
        <x:f>'3. Ceník'!D9</x:f>
        <x:v>1145.3</x:v>
      </x:c>
      <x:c r="E13" s="90" t="n">
        <x:f>'3. Ceník'!E9</x:f>
        <x:v>57.265</x:v>
      </x:c>
      <x:c r="F13" s="90" t="n">
        <x:f>'3. Ceník'!F9</x:f>
        <x:v>34.358999999999995</x:v>
      </x:c>
      <x:c r="G13" s="90" t="n">
        <x:f>'3. Ceník'!G9</x:f>
        <x:v>171.795</x:v>
      </x:c>
      <x:c r="H13" s="90" t="n">
        <x:f>'3. Ceník'!H9</x:f>
        <x:v>1408.719</x:v>
      </x:c>
      <x:c r="I13" s="91" t="n">
        <x:f>'3. Ceník'!I9</x:f>
        <x:v>0.35</x:v>
      </x:c>
      <x:c r="J13" s="90" t="n">
        <x:f>'3. Ceník'!J9</x:f>
        <x:v>2167.26</x:v>
      </x:c>
      <x:c r="K13" s="90" t="n">
        <x:f>'3. Ceník'!K9</x:f>
        <x:v>3713.955</x:v>
      </x:c>
      <x:c r="L13" s="91" t="n">
        <x:f>'3. Ceník'!L9</x:f>
        <x:v>-0.4164549651247793</x:v>
      </x:c>
      <x:c r="M13" s="91" t="n">
        <x:f>'3. Ceník'!M9</x:f>
        <x:v>0.2</x:v>
      </x:c>
      <x:c r="N13" s="91" t="n">
        <x:f>'3. Ceník'!N9</x:f>
        <x:v>0.1875000000000001</x:v>
      </x:c>
      <x:c r="O13" s="92" t="str">
        <x:f>'3. Ceník'!O9</x:f>
        <x:v>PROVIZORNÍ</x:v>
      </x:c>
      <x:c r="P13" s="92" t="str">
        <x:f>'3. Ceník'!P9</x:f>
        <x:v>BLOKOVÁNO</x:v>
      </x:c>
    </x:row>
    <x:row r="14">
      <x:c r="A14" s="92" t="str">
        <x:f>'3. Ceník'!A10</x:f>
        <x:v>DS_VF_01</x:v>
      </x:c>
      <x:c r="B14" s="92" t="str">
        <x:f>'3. Ceník'!B10</x:f>
        <x:v>Akustická mezibytová dvojitá stěna 300 mm</x:v>
      </x:c>
      <x:c r="C14" s="107" t="n">
        <x:f>'3. Ceník'!C10</x:f>
        <x:v>300</x:v>
      </x:c>
      <x:c r="D14" s="90" t="n">
        <x:f>'3. Ceník'!D10</x:f>
        <x:v>1551.4</x:v>
      </x:c>
      <x:c r="E14" s="90" t="n">
        <x:f>'3. Ceník'!E10</x:f>
        <x:v>77.57000000000001</x:v>
      </x:c>
      <x:c r="F14" s="90" t="n">
        <x:f>'3. Ceník'!F10</x:f>
        <x:v>46.542</x:v>
      </x:c>
      <x:c r="G14" s="90" t="n">
        <x:f>'3. Ceník'!G10</x:f>
        <x:v>232.71</x:v>
      </x:c>
      <x:c r="H14" s="90" t="n">
        <x:f>'3. Ceník'!H10</x:f>
        <x:v>1908.222</x:v>
      </x:c>
      <x:c r="I14" s="91" t="n">
        <x:f>'3. Ceník'!I10</x:f>
        <x:v>0.35</x:v>
      </x:c>
      <x:c r="J14" s="90" t="n">
        <x:f>'3. Ceník'!J10</x:f>
        <x:v>2935.726153846154</x:v>
      </x:c>
      <x:c r="K14" s="90" t="n">
        <x:f>'3. Ceník'!K10</x:f>
        <x:v>6118.04</x:v>
      </x:c>
      <x:c r="L14" s="91" t="n">
        <x:f>'3. Ceník'!L10</x:f>
        <x:v>-0.520152507364098</x:v>
      </x:c>
      <x:c r="M14" s="91" t="n">
        <x:f>'3. Ceník'!M10</x:f>
        <x:v>0.2</x:v>
      </x:c>
      <x:c r="N14" s="91" t="n">
        <x:f>'3. Ceník'!N10</x:f>
        <x:v>0.1875000000000001</x:v>
      </x:c>
      <x:c r="O14" s="92" t="str">
        <x:f>'3. Ceník'!O10</x:f>
        <x:v>PROVIZORNÍ</x:v>
      </x:c>
      <x:c r="P14" s="92" t="str">
        <x:f>'3. Ceník'!P10</x:f>
        <x:v>BLOKOVÁNO</x:v>
      </x:c>
    </x:row>
    <x:row r="15">
      <x:c r="A15" s="92" t="str">
        <x:f>'3. Ceník'!A11</x:f>
        <x:v>PS_VF_01</x:v>
      </x:c>
      <x:c r="B15" s="92" t="str">
        <x:f>'3. Ceník'!B11</x:f>
        <x:v>Vnitřní nenosná příčka 100 mm</x:v>
      </x:c>
      <x:c r="C15" s="107" t="n">
        <x:f>'3. Ceník'!C11</x:f>
        <x:v>100</x:v>
      </x:c>
      <x:c r="D15" s="90" t="n">
        <x:f>'3. Ceník'!D11</x:f>
        <x:v>854.7</x:v>
      </x:c>
      <x:c r="E15" s="90" t="n">
        <x:f>'3. Ceník'!E11</x:f>
        <x:v>42.73500000000001</x:v>
      </x:c>
      <x:c r="F15" s="90" t="n">
        <x:f>'3. Ceník'!F11</x:f>
        <x:v>25.641000000000002</x:v>
      </x:c>
      <x:c r="G15" s="90" t="n">
        <x:f>'3. Ceník'!G11</x:f>
        <x:v>128.205</x:v>
      </x:c>
      <x:c r="H15" s="90" t="n">
        <x:f>'3. Ceník'!H11</x:f>
        <x:v>1051.281</x:v>
      </x:c>
      <x:c r="I15" s="91" t="n">
        <x:f>'3. Ceník'!I11</x:f>
        <x:v>0.35</x:v>
      </x:c>
      <x:c r="J15" s="90" t="n">
        <x:f>'3. Ceník'!J11</x:f>
        <x:v>1617.3553846153845</x:v>
      </x:c>
      <x:c r="K15" s="90" t="n">
        <x:f>'3. Ceník'!K11</x:f>
        <x:v>2964.67</x:v>
      </x:c>
      <x:c r="L15" s="91" t="n">
        <x:f>'3. Ceník'!L11</x:f>
        <x:v>-0.4544568587345693</x:v>
      </x:c>
      <x:c r="M15" s="91" t="n">
        <x:f>'3. Ceník'!M11</x:f>
        <x:v>0.2</x:v>
      </x:c>
      <x:c r="N15" s="91" t="n">
        <x:f>'3. Ceník'!N11</x:f>
        <x:v>0.1875</x:v>
      </x:c>
      <x:c r="O15" s="92" t="str">
        <x:f>'3. Ceník'!O11</x:f>
        <x:v>PROVIZORNÍ</x:v>
      </x:c>
      <x:c r="P15" s="92" t="str">
        <x:f>'3. Ceník'!P11</x:f>
        <x:v>BLOKOVÁNO</x:v>
      </x:c>
    </x:row>
    <x:row r="16">
      <x:c r="A16" s="92" t="str">
        <x:f>'3. Ceník'!A12</x:f>
        <x:v>STROP_RD</x:v>
      </x:c>
      <x:c r="B16" s="92" t="str">
        <x:f>'3. Ceník'!B12</x:f>
        <x:v>Stropní dílec pro rodinné domy 432 mm</x:v>
      </x:c>
      <x:c r="C16" s="107" t="n">
        <x:f>'3. Ceník'!C12</x:f>
        <x:v>432</x:v>
      </x:c>
      <x:c r="D16" s="90" t="n">
        <x:f>'3. Ceník'!D12</x:f>
        <x:v>1943</x:v>
      </x:c>
      <x:c r="E16" s="90" t="n">
        <x:f>'3. Ceník'!E12</x:f>
        <x:v>97.15</x:v>
      </x:c>
      <x:c r="F16" s="90" t="n">
        <x:f>'3. Ceník'!F12</x:f>
        <x:v>58.29</x:v>
      </x:c>
      <x:c r="G16" s="90" t="n">
        <x:f>'3. Ceník'!G12</x:f>
        <x:v>291.45</x:v>
      </x:c>
      <x:c r="H16" s="90" t="n">
        <x:f>'3. Ceník'!H12</x:f>
        <x:v>2389.89</x:v>
      </x:c>
      <x:c r="I16" s="91" t="n">
        <x:f>'3. Ceník'!I12</x:f>
        <x:v>0.35</x:v>
      </x:c>
      <x:c r="J16" s="90" t="n">
        <x:f>'3. Ceník'!J12</x:f>
        <x:v>3676.7538461538456</x:v>
      </x:c>
      <x:c r="K16" s="90" t="n">
        <x:f>'3. Ceník'!K12</x:f>
        <x:v>6019.06</x:v>
      </x:c>
      <x:c r="L16" s="91" t="n">
        <x:f>'3. Ceník'!L12</x:f>
        <x:v>-0.38914816497030347</x:v>
      </x:c>
      <x:c r="M16" s="91" t="n">
        <x:f>'3. Ceník'!M12</x:f>
        <x:v>0.2</x:v>
      </x:c>
      <x:c r="N16" s="91" t="n">
        <x:f>'3. Ceník'!N12</x:f>
        <x:v>0.1875</x:v>
      </x:c>
      <x:c r="O16" s="92" t="str">
        <x:f>'3. Ceník'!O12</x:f>
        <x:v>PROVIZORNÍ</x:v>
      </x:c>
      <x:c r="P16" s="92" t="str">
        <x:f>'3. Ceník'!P12</x:f>
        <x:v>BLOKOVÁNO</x:v>
      </x:c>
    </x:row>
    <x:row r="17">
      <x:c r="A17" s="92" t="str">
        <x:f>'3. Ceník'!A13</x:f>
        <x:v>STROP_BD</x:v>
      </x:c>
      <x:c r="B17" s="92" t="str">
        <x:f>'3. Ceník'!B13</x:f>
        <x:v>Akustický strop s voštinovým zásypem 492 mm</x:v>
      </x:c>
      <x:c r="C17" s="107" t="n">
        <x:f>'3. Ceník'!C13</x:f>
        <x:v>492</x:v>
      </x:c>
      <x:c r="D17" s="90" t="n">
        <x:f>'3. Ceník'!D13</x:f>
        <x:v>3465.1</x:v>
      </x:c>
      <x:c r="E17" s="90" t="n">
        <x:f>'3. Ceník'!E13</x:f>
        <x:v>173.255</x:v>
      </x:c>
      <x:c r="F17" s="90" t="n">
        <x:f>'3. Ceník'!F13</x:f>
        <x:v>103.95299999999999</x:v>
      </x:c>
      <x:c r="G17" s="90" t="n">
        <x:f>'3. Ceník'!G13</x:f>
        <x:v>519.765</x:v>
      </x:c>
      <x:c r="H17" s="90" t="n">
        <x:f>'3. Ceník'!H13</x:f>
        <x:v>4262.073</x:v>
      </x:c>
      <x:c r="I17" s="91" t="n">
        <x:f>'3. Ceník'!I13</x:f>
        <x:v>0.35</x:v>
      </x:c>
      <x:c r="J17" s="90" t="n">
        <x:f>'3. Ceník'!J13</x:f>
        <x:v>6557.035384615385</x:v>
      </x:c>
      <x:c r="K17" s="90" t="n">
        <x:f>'3. Ceník'!K13</x:f>
        <x:v>6019.06</x:v>
      </x:c>
      <x:c r="L17" s="91" t="n">
        <x:f>'3. Ceník'!L13</x:f>
        <x:v>0.08937863796263601</x:v>
      </x:c>
      <x:c r="M17" s="91" t="n">
        <x:f>'3. Ceník'!M13</x:f>
        <x:v>0.2</x:v>
      </x:c>
      <x:c r="N17" s="91" t="n">
        <x:f>'3. Ceník'!N13</x:f>
        <x:v>0.1875</x:v>
      </x:c>
      <x:c r="O17" s="92" t="str">
        <x:f>'3. Ceník'!O13</x:f>
        <x:v>PROVIZORNÍ</x:v>
      </x:c>
      <x:c r="P17" s="92" t="str">
        <x:f>'3. Ceník'!P13</x:f>
        <x:v>BLOKOVÁNO</x:v>
      </x:c>
    </x:row>
    <x:row r="18">
      <x:c r="A18" s="92" t="str">
        <x:f>'3. Ceník'!A14</x:f>
        <x:v>STRECHA_SIKMA</x:v>
      </x:c>
      <x:c r="B18" s="92" t="str">
        <x:f>'3. Ceník'!B14</x:f>
        <x:v>Šikmá střecha s krokevní soustavou 455 mm</x:v>
      </x:c>
      <x:c r="C18" s="107" t="n">
        <x:f>'3. Ceník'!C14</x:f>
        <x:v>455</x:v>
      </x:c>
      <x:c r="D18" s="90" t="n">
        <x:f>'3. Ceník'!D14</x:f>
        <x:v>2362.6000000000004</x:v>
      </x:c>
      <x:c r="E18" s="90" t="n">
        <x:f>'3. Ceník'!E14</x:f>
        <x:v>118.13000000000002</x:v>
      </x:c>
      <x:c r="F18" s="90" t="n">
        <x:f>'3. Ceník'!F14</x:f>
        <x:v>70.87800000000001</x:v>
      </x:c>
      <x:c r="G18" s="90" t="n">
        <x:f>'3. Ceník'!G14</x:f>
        <x:v>354.39000000000004</x:v>
      </x:c>
      <x:c r="H18" s="90" t="n">
        <x:f>'3. Ceník'!H14</x:f>
        <x:v>2905.9980000000005</x:v>
      </x:c>
      <x:c r="I18" s="91" t="n">
        <x:f>'3. Ceník'!I14</x:f>
        <x:v>0.35</x:v>
      </x:c>
      <x:c r="J18" s="90" t="n">
        <x:f>'3. Ceník'!J14</x:f>
        <x:v>4470.766153846154</x:v>
      </x:c>
      <x:c r="K18" s="90" t="n">
        <x:f>'3. Ceník'!K14</x:f>
        <x:v>6196.76</x:v>
      </x:c>
      <x:c r="L18" s="91" t="n">
        <x:f>'3. Ceník'!L14</x:f>
        <x:v>-0.27853165947266734</x:v>
      </x:c>
      <x:c r="M18" s="91" t="n">
        <x:f>'3. Ceník'!M14</x:f>
        <x:v>0.2</x:v>
      </x:c>
      <x:c r="N18" s="91" t="n">
        <x:f>'3. Ceník'!N14</x:f>
        <x:v>0.1875</x:v>
      </x:c>
      <x:c r="O18" s="92" t="str">
        <x:f>'3. Ceník'!O14</x:f>
        <x:v>PROVIZORNÍ</x:v>
      </x:c>
      <x:c r="P18" s="92" t="str">
        <x:f>'3. Ceník'!P14</x:f>
        <x:v>BLOKOVÁNO</x:v>
      </x:c>
    </x:row>
    <x:row r="19">
      <x:c r="A19" s="92" t="str">
        <x:f>'3. Ceník'!A15</x:f>
        <x:v>STRECHA_PLOCHA</x:v>
      </x:c>
      <x:c r="B19" s="92" t="str">
        <x:f>'3. Ceník'!B15</x:f>
        <x:v>Plochá střecha se spádovou izolací 564.5 mm</x:v>
      </x:c>
      <x:c r="C19" s="107" t="n">
        <x:f>'3. Ceník'!C15</x:f>
        <x:v>564.5</x:v>
      </x:c>
      <x:c r="D19" s="90" t="n">
        <x:f>'3. Ceník'!D15</x:f>
        <x:v>2966.2</x:v>
      </x:c>
      <x:c r="E19" s="90" t="n">
        <x:f>'3. Ceník'!E15</x:f>
        <x:v>148.31</x:v>
      </x:c>
      <x:c r="F19" s="90" t="n">
        <x:f>'3. Ceník'!F15</x:f>
        <x:v>88.98599999999999</x:v>
      </x:c>
      <x:c r="G19" s="90" t="n">
        <x:f>'3. Ceník'!G15</x:f>
        <x:v>444.92999999999995</x:v>
      </x:c>
      <x:c r="H19" s="90" t="n">
        <x:f>'3. Ceník'!H15</x:f>
        <x:v>3648.4259999999995</x:v>
      </x:c>
      <x:c r="I19" s="91" t="n">
        <x:f>'3. Ceník'!I15</x:f>
        <x:v>0.35</x:v>
      </x:c>
      <x:c r="J19" s="90" t="n">
        <x:f>'3. Ceník'!J15</x:f>
        <x:v>5612.963076923076</x:v>
      </x:c>
      <x:c r="K19" s="90" t="n">
        <x:f>'3. Ceník'!K15</x:f>
        <x:v>6196.76</x:v>
      </x:c>
      <x:c r="L19" s="91" t="n">
        <x:f>'3. Ceník'!L15</x:f>
        <x:v>-0.09421002638103204</x:v>
      </x:c>
      <x:c r="M19" s="91" t="n">
        <x:f>'3. Ceník'!M15</x:f>
        <x:v>0.2</x:v>
      </x:c>
      <x:c r="N19" s="91" t="n">
        <x:f>'3. Ceník'!N15</x:f>
        <x:v>0.1875000000000001</x:v>
      </x:c>
      <x:c r="O19" s="92" t="str">
        <x:f>'3. Ceník'!O15</x:f>
        <x:v>PROVIZORNÍ</x:v>
      </x:c>
      <x:c r="P19" s="92" t="str">
        <x:f>'3. Ceník'!P15</x:f>
        <x:v>BLOKOVÁNO</x:v>
      </x:c>
    </x:row>
    <x:row r="20">
      <x:c r="A20" s="92" t="str">
        <x:f>'3. Ceník'!A16</x:f>
        <x:v>PODLAHA_1NP</x:v>
      </x:c>
      <x:c r="B20" s="92" t="str">
        <x:f>'3. Ceník'!B16</x:f>
        <x:v>Podlahový dílec 1.NP nad základovou deskou 170 mm</x:v>
      </x:c>
      <x:c r="C20" s="107" t="n">
        <x:f>'3. Ceník'!C16</x:f>
        <x:v>170</x:v>
      </x:c>
      <x:c r="D20" s="90" t="n">
        <x:f>'3. Ceník'!D16</x:f>
        <x:v>1142.4</x:v>
      </x:c>
      <x:c r="E20" s="90" t="n">
        <x:f>'3. Ceník'!E16</x:f>
        <x:v>57.120000000000005</x:v>
      </x:c>
      <x:c r="F20" s="90" t="n">
        <x:f>'3. Ceník'!F16</x:f>
        <x:v>34.272</x:v>
      </x:c>
      <x:c r="G20" s="90" t="n">
        <x:f>'3. Ceník'!G16</x:f>
        <x:v>171.36</x:v>
      </x:c>
      <x:c r="H20" s="90" t="n">
        <x:f>'3. Ceník'!H16</x:f>
        <x:v>1405.152</x:v>
      </x:c>
      <x:c r="I20" s="91" t="n">
        <x:f>'3. Ceník'!I16</x:f>
        <x:v>0.35</x:v>
      </x:c>
      <x:c r="J20" s="90" t="n">
        <x:f>'3. Ceník'!J16</x:f>
        <x:v>2161.7723076923075</x:v>
      </x:c>
      <x:c r="K20" s="90" t="n">
        <x:f>'3. Ceník'!K16</x:f>
        <x:v>0</x:v>
      </x:c>
      <x:c r="L20" s="91" t="n">
        <x:f>'3. Ceník'!L16</x:f>
        <x:v>0</x:v>
      </x:c>
      <x:c r="M20" s="91" t="n">
        <x:f>'3. Ceník'!M16</x:f>
        <x:v>0.2</x:v>
      </x:c>
      <x:c r="N20" s="91" t="n">
        <x:f>'3. Ceník'!N16</x:f>
        <x:v>0.1874999999999999</x:v>
      </x:c>
      <x:c r="O20" s="92" t="str">
        <x:f>'3. Ceník'!O16</x:f>
        <x:v>PROVIZORNÍ</x:v>
      </x:c>
      <x:c r="P20" s="92" t="str">
        <x:f>'3. Ceník'!P16</x:f>
        <x:v>BLOKOVÁNO</x:v>
      </x:c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  <x:c r="K21" s="153"/>
      <x:c r="L21" s="153"/>
      <x:c r="M21" s="153"/>
      <x:c r="N21" s="153"/>
      <x:c r="O21" s="153"/>
      <x:c r="P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  <x:c r="K22" s="153"/>
      <x:c r="L22" s="153"/>
      <x:c r="M22" s="153"/>
      <x:c r="N22" s="153"/>
      <x:c r="O22" s="153"/>
      <x:c r="P22" s="153"/>
    </x:row>
    <x:row r="23">
      <x:c r="A23" s="52" t="str">
        <x:v>1.2 KONTROLNÍ BRÁNY</x:v>
      </x:c>
      <x:c r="B23" s="52"/>
      <x:c r="C23" s="52"/>
      <x:c r="D23" s="52"/>
      <x:c r="E23" s="52"/>
      <x:c r="F23" s="52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</x:row>
    <x:row r="24">
      <x:c r="A24" s="16" t="str">
        <x:v>Kontrola</x:v>
      </x:c>
      <x:c r="B24" s="16" t="str">
        <x:v>Stav</x:v>
      </x:c>
      <x:c r="C24" s="16" t="str">
        <x:v>Co je potřeba</x:v>
      </x:c>
      <x:c r="D24" s="153"/>
      <x:c r="E24" s="153"/>
      <x:c r="F24" s="153"/>
      <x:c r="G24" s="153"/>
      <x:c r="H24" s="153"/>
      <x:c r="I24" s="153"/>
      <x:c r="J24" s="153"/>
      <x:c r="K24" s="153"/>
      <x:c r="L24" s="153"/>
      <x:c r="M24" s="153"/>
      <x:c r="N24" s="153"/>
      <x:c r="O24" s="153"/>
      <x:c r="P24" s="153"/>
    </x:row>
    <x:row r="25">
      <x:c r="A25" s="46" t="str">
        <x:v>Počet typových panelů</x:v>
      </x:c>
      <x:c r="B25" s="46" t="str">
        <x:f>IF(COUNTA(A10:A20)=11,"OK","CHYBA")</x:f>
        <x:v>OK</x:v>
      </x:c>
      <x:c r="C25" s="46" t="str">
        <x:v>Musí být 11</x:v>
      </x:c>
      <x:c r="D25" s="153"/>
      <x:c r="E25" s="153"/>
      <x:c r="F25" s="153"/>
      <x:c r="G25" s="153"/>
      <x:c r="H25" s="153"/>
      <x:c r="I25" s="153"/>
      <x:c r="J25" s="153"/>
      <x:c r="K25" s="153"/>
      <x:c r="L25" s="153"/>
      <x:c r="M25" s="153"/>
      <x:c r="N25" s="153"/>
      <x:c r="O25" s="153"/>
      <x:c r="P25" s="153"/>
    </x:row>
    <x:row r="26">
      <x:c r="A26" s="47" t="str">
        <x:v>Materiálový náklad všech panelů</x:v>
      </x:c>
      <x:c r="B26" s="47" t="str">
        <x:f>IF(COUNTIF(H10:H20,"&gt;0")=11,"OK","CHYBA")</x:f>
        <x:v>OK</x:v>
      </x:c>
      <x:c r="C26" s="47" t="str">
        <x:v>Každý panel musí mít náklad &gt; 0</x:v>
      </x:c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3"/>
      <x:c r="O26" s="153"/>
      <x:c r="P26" s="153"/>
    </x:row>
    <x:row r="27">
      <x:c r="A27" s="47" t="str">
        <x:v>Cílová marže v platném intervalu</x:v>
      </x:c>
      <x:c r="B27" s="47" t="str">
        <x:f>IF(AND(MIN(I10:I20)&gt;0,MAX(I10:I20)&lt;1),"OK","CHYBA")</x:f>
        <x:v>OK</x:v>
      </x:c>
      <x:c r="C27" s="47" t="str">
        <x:v>0–100 %</x:v>
      </x:c>
      <x:c r="D27" s="153"/>
      <x:c r="E27" s="153"/>
      <x:c r="F27" s="153"/>
      <x:c r="G27" s="153"/>
      <x:c r="H27" s="153"/>
      <x:c r="I27" s="153"/>
      <x:c r="J27" s="153"/>
      <x:c r="K27" s="153"/>
      <x:c r="L27" s="153"/>
      <x:c r="M27" s="153"/>
      <x:c r="N27" s="153"/>
      <x:c r="O27" s="153"/>
      <x:c r="P27" s="153"/>
    </x:row>
    <x:row r="28">
      <x:c r="A28" s="47" t="str">
        <x:v>Materiálové ceny</x:v>
      </x:c>
      <x:c r="B28" s="47" t="str">
        <x:f>IF(COUNTIF('8. Materiály'!$K$6:$K$56,"POTVRZENO")=51,"OK","DOPLNIT")</x:f>
        <x:v>DOPLNIT</x:v>
      </x:c>
      <x:c r="C28" s="47" t="str">
        <x:v>Ověřit nákupní ceny po rabatu, pořizovací náklady, zdroje a platnost všech materiálů</x:v>
      </x:c>
      <x:c r="D28" s="153"/>
      <x:c r="E28" s="153"/>
      <x:c r="F28" s="153"/>
      <x:c r="G28" s="153"/>
      <x:c r="H28" s="153"/>
      <x:c r="I28" s="153"/>
      <x:c r="J28" s="153"/>
      <x:c r="K28" s="153"/>
      <x:c r="L28" s="153"/>
      <x:c r="M28" s="153"/>
      <x:c r="N28" s="153"/>
      <x:c r="O28" s="153"/>
      <x:c r="P28" s="153"/>
    </x:row>
    <x:row r="29">
      <x:c r="A29" s="47" t="str">
        <x:v>Výrobní sazba a normy</x:v>
      </x:c>
      <x:c r="B29" s="47" t="str">
        <x:f>IF(AND('2. Vstupy'!$B$9="ANO",'2. Vstupy'!$B$10="ANO"),"OK","DOPLNIT")</x:f>
        <x:v>DOPLNIT</x:v>
      </x:c>
      <x:c r="C29" s="47" t="str">
        <x:v>Doplnit Kč/Nh a Nh/m²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</x:row>
    <x:row r="30">
      <x:c r="A30" s="47" t="str">
        <x:v>Náklady služeb</x:v>
      </x:c>
      <x:c r="B30" s="47" t="str">
        <x:f>IF('2. Vstupy'!$B$11="ANO","OK","DOPLNIT")</x:f>
        <x:v>DOPLNIT</x:v>
      </x:c>
      <x:c r="C30" s="47" t="str">
        <x:v>Doplnit skutečný náklad montáže, jeřábu a dopravy</x:v>
      </x:c>
      <x:c r="D30" s="153"/>
      <x:c r="E30" s="153"/>
      <x:c r="F30" s="153"/>
      <x:c r="G30" s="153"/>
      <x:c r="H30" s="153"/>
      <x:c r="I30" s="153"/>
      <x:c r="J30" s="153"/>
      <x:c r="K30" s="153"/>
      <x:c r="L30" s="153"/>
      <x:c r="M30" s="153"/>
      <x:c r="N30" s="153"/>
      <x:c r="O30" s="153"/>
      <x:c r="P30" s="153"/>
    </x:row>
    <x:row r="31">
      <x:c r="A31" s="47" t="str">
        <x:v>Slevová politika</x:v>
      </x:c>
      <x:c r="B31" s="47" t="str">
        <x:f>'2. Vstupy'!$B$14</x:f>
        <x:v>BLOKOVÁNO</x:v>
      </x:c>
      <x:c r="C31" s="47" t="str">
        <x:v>Aktivovat až po splnění všech bran</x:v>
      </x:c>
      <x:c r="D31" s="153"/>
      <x:c r="E31" s="153"/>
      <x:c r="F31" s="153"/>
      <x:c r="G31" s="153"/>
      <x:c r="H31" s="153"/>
      <x:c r="I31" s="153"/>
      <x:c r="J31" s="153"/>
      <x:c r="K31" s="153"/>
      <x:c r="L31" s="153"/>
      <x:c r="M31" s="153"/>
      <x:c r="N31" s="153"/>
      <x:c r="O31" s="153"/>
      <x:c r="P31" s="153"/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M4:N4"/>
    <x:mergeCell ref="O4:P4"/>
    <x:mergeCell ref="A6:P6"/>
    <x:mergeCell ref="A8:P8"/>
    <x:mergeCell ref="A23:F23"/>
  </x:mergeCells>
  <x:conditionalFormatting sqref="C4:D4">
    <x:cfRule type="containsText" dxfId="42" priority="1" operator="containsText" text="PŘIPRAVENO"/>
    <x:cfRule type="containsText" dxfId="43" priority="2" operator="containsText" text="AKTIVNÍ"/>
    <x:cfRule type="containsText" dxfId="44" priority="3" operator="containsText" text="BLOKOVÁNO"/>
    <x:cfRule type="containsText" dxfId="45" priority="4" operator="containsText" text="CHYBÍ"/>
    <x:cfRule type="containsText" dxfId="46" priority="5" operator="containsText" text="DOPLNIT"/>
    <x:cfRule type="containsText" dxfId="47" priority="6" operator="containsText" text="PROVIZORNÍ"/>
  </x:conditionalFormatting>
  <x:conditionalFormatting sqref="K4:L4">
    <x:cfRule type="containsText" dxfId="48" priority="7" operator="containsText" text="PŘIPRAVENO"/>
    <x:cfRule type="containsText" dxfId="49" priority="8" operator="containsText" text="AKTIVNÍ"/>
    <x:cfRule type="containsText" dxfId="50" priority="9" operator="containsText" text="BLOKOVÁNO"/>
    <x:cfRule type="containsText" dxfId="51" priority="10" operator="containsText" text="CHYBÍ"/>
    <x:cfRule type="containsText" dxfId="52" priority="11" operator="containsText" text="DOPLNIT"/>
    <x:cfRule type="containsText" dxfId="53" priority="12" operator="containsText" text="PROVIZORNÍ"/>
  </x:conditionalFormatting>
  <x:conditionalFormatting sqref="O10:P20">
    <x:cfRule type="containsText" dxfId="54" priority="13" operator="containsText" text="PŘIPRAVENO"/>
    <x:cfRule type="containsText" dxfId="55" priority="14" operator="containsText" text="AKTIVNÍ"/>
    <x:cfRule type="containsText" dxfId="56" priority="15" operator="containsText" text="BLOKOVÁNO"/>
    <x:cfRule type="containsText" dxfId="57" priority="16" operator="containsText" text="CHYBÍ"/>
    <x:cfRule type="containsText" dxfId="58" priority="17" operator="containsText" text="DOPLNIT"/>
    <x:cfRule type="containsText" dxfId="59" priority="18" operator="containsText" text="PROVIZORNÍ"/>
  </x:conditionalFormatting>
  <x:conditionalFormatting sqref="B25:B31">
    <x:cfRule type="containsText" dxfId="60" priority="19" operator="containsText" text="PŘIPRAVENO"/>
    <x:cfRule type="containsText" dxfId="61" priority="20" operator="containsText" text="AKTIVNÍ"/>
    <x:cfRule type="containsText" dxfId="62" priority="21" operator="containsText" text="BLOKOVÁNO"/>
    <x:cfRule type="containsText" dxfId="63" priority="22" operator="containsText" text="CHYBÍ"/>
    <x:cfRule type="containsText" dxfId="64" priority="23" operator="containsText" text="DOPLNIT"/>
    <x:cfRule type="containsText" dxfId="65" priority="24" operator="containsText" text="PROVIZORNÍ"/>
    <x:cfRule type="expression" dxfId="66" priority="25">
      <x:formula>B25="OK"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21" hidden="0" customWidth="1"/>
    <x:col min="4" max="4" width="46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36" customHeight="1">
      <x:c r="A1" s="40" t="str">
        <x:v>VESPER FRAMES — ŘÍZENÉ VSTUPY NÁKLADOVÉHO MODELU V2</x:v>
      </x:c>
      <x:c r="B1" s="40"/>
      <x:c r="C1" s="40"/>
      <x:c r="D1" s="40"/>
      <x:c r="E1" s="40"/>
      <x:c r="F1" s="40"/>
      <x:c r="G1" s="40"/>
      <x:c r="H1" s="40"/>
      <x:c r="I1" s="40"/>
    </x:row>
    <x:row r="2" ht="25" customHeight="1">
      <x:c r="A2" s="6" t="str">
        <x:v>Modře psané buňky jsou vstupy. Slevy se aktivují pouze po potvrzení materiálů, výrobních sazeb, norem a nákladů služeb.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</x:row>
    <x:row r="4">
      <x:c r="A4" s="10" t="str">
        <x:v>2.1 ŘÍDICÍ BRÁNY A ZÁKLADNÍ PŘEDPOKLADY</x:v>
      </x:c>
      <x:c r="B4" s="10"/>
      <x:c r="C4" s="10"/>
      <x:c r="D4" s="10"/>
      <x:c r="E4" s="10"/>
      <x:c r="F4" s="10"/>
      <x:c r="G4" s="10"/>
      <x:c r="H4" s="10"/>
      <x:c r="I4" s="10"/>
    </x:row>
    <x:row r="5">
      <x:c r="A5" s="16" t="str">
        <x:v>Parametr</x:v>
      </x:c>
      <x:c r="B5" s="16" t="str">
        <x:v>Hodnota</x:v>
      </x:c>
      <x:c r="C5" s="16" t="str">
        <x:v>Stav / zdroj</x:v>
      </x:c>
      <x:c r="D5" s="16" t="str">
        <x:v>Význam</x:v>
      </x:c>
      <x:c r="E5" s="153"/>
      <x:c r="F5" s="153"/>
      <x:c r="G5" s="153"/>
      <x:c r="H5" s="153"/>
      <x:c r="I5" s="153"/>
    </x:row>
    <x:row r="6">
      <x:c r="A6" s="46" t="str">
        <x:v>Nákladová verze</x:v>
      </x:c>
      <x:c r="B6" s="46" t="str">
        <x:v>V2.1-2026-08-04</x:v>
      </x:c>
      <x:c r="C6" s="46" t="str">
        <x:v>CENTRÁLNÍ ČÍSELNÍK MATERIÁLŮ</x:v>
      </x:c>
      <x:c r="D6" s="46" t="str">
        <x:v>Historický otisk nákladových předpokladů</x:v>
      </x:c>
      <x:c r="E6" s="153"/>
      <x:c r="F6" s="153"/>
      <x:c r="G6" s="153"/>
      <x:c r="H6" s="153"/>
      <x:c r="I6" s="153"/>
    </x:row>
    <x:row r="7">
      <x:c r="A7" s="47" t="str">
        <x:v>Datum aktualizace</x:v>
      </x:c>
      <x:c r="B7" s="48" t="n">
        <x:v>46238</x:v>
      </x:c>
      <x:c r="C7" s="47" t="str">
        <x:v>ZDROJOVÉ SOUBORY</x:v>
      </x:c>
      <x:c r="D7" s="47" t="str">
        <x:v>Datum sestavení této verze</x:v>
      </x:c>
      <x:c r="E7" s="153"/>
      <x:c r="F7" s="153"/>
      <x:c r="G7" s="153"/>
      <x:c r="H7" s="153"/>
      <x:c r="I7" s="153"/>
    </x:row>
    <x:row r="8">
      <x:c r="A8" s="47" t="str">
        <x:v>Materiálové ceny ověřeny</x:v>
      </x:c>
      <x:c r="B8" s="237" t="str">
        <x:f>IF(AND(COUNTA('8. Materiály'!$A$6:$A$56)=51,COUNTIF('8. Materiály'!$K$6:$K$56,"POTVRZENO")=51),"ANO","NE")</x:f>
        <x:v>NE</x:v>
      </x:c>
      <x:c r="C8" s="47" t="str">
        <x:v>AUTOMATICKÁ KONTROLA ČÍSELNÍKU</x:v>
      </x:c>
      <x:c r="D8" s="47" t="str">
        <x:v>ANO až po potvrzení všech 51 materiálů včetně zdroje a platnosti ceny</x:v>
      </x:c>
      <x:c r="E8" s="153"/>
      <x:c r="F8" s="153"/>
      <x:c r="G8" s="153"/>
      <x:c r="H8" s="153"/>
      <x:c r="I8" s="153"/>
    </x:row>
    <x:row r="9">
      <x:c r="A9" s="47" t="str">
        <x:v>Výrobní sazba ověřena</x:v>
      </x:c>
      <x:c r="B9" s="49" t="str">
        <x:v>NE</x:v>
      </x:c>
      <x:c r="C9" s="47" t="str">
        <x:v>RUČNÍ KONTROLA</x:v>
      </x:c>
      <x:c r="D9" s="47" t="str">
        <x:v>ANO až po výpočtu úplné sazby Kč/Nh</x:v>
      </x:c>
      <x:c r="E9" s="153"/>
      <x:c r="F9" s="153"/>
      <x:c r="G9" s="153"/>
      <x:c r="H9" s="153"/>
      <x:c r="I9" s="153"/>
    </x:row>
    <x:row r="10">
      <x:c r="A10" s="47" t="str">
        <x:v>Normy panelů ověřeny</x:v>
      </x:c>
      <x:c r="B10" s="49" t="str">
        <x:v>NE</x:v>
      </x:c>
      <x:c r="C10" s="47" t="str">
        <x:v>RUČNÍ KONTROLA</x:v>
      </x:c>
      <x:c r="D10" s="47" t="str">
        <x:v>ANO až po měření normohodin všech panelů</x:v>
      </x:c>
      <x:c r="E10" s="153"/>
      <x:c r="F10" s="153"/>
      <x:c r="G10" s="153"/>
      <x:c r="H10" s="153"/>
      <x:c r="I10" s="153"/>
    </x:row>
    <x:row r="11">
      <x:c r="A11" s="47" t="str">
        <x:v>Náklady služeb ověřeny</x:v>
      </x:c>
      <x:c r="B11" s="49" t="str">
        <x:v>NE</x:v>
      </x:c>
      <x:c r="C11" s="47" t="str">
        <x:v>RUČNÍ KONTROLA</x:v>
      </x:c>
      <x:c r="D11" s="47" t="str">
        <x:v>ANO až po doplnění montáže, jeřábu a dopravy</x:v>
      </x:c>
      <x:c r="E11" s="153"/>
      <x:c r="F11" s="153"/>
      <x:c r="G11" s="153"/>
      <x:c r="H11" s="153"/>
      <x:c r="I11" s="153"/>
    </x:row>
    <x:row r="12">
      <x:c r="A12" s="47" t="str">
        <x:v>Slevová politika aktivní</x:v>
      </x:c>
      <x:c r="B12" s="49" t="str">
        <x:v>NE</x:v>
      </x:c>
      <x:c r="C12" s="47" t="str">
        <x:v>MANAGEMENT</x:v>
      </x:c>
      <x:c r="D12" s="47" t="str">
        <x:v>Aktivace je povolena pouze u připraveného modelu</x:v>
      </x:c>
      <x:c r="E12" s="153"/>
      <x:c r="F12" s="153"/>
      <x:c r="G12" s="153"/>
      <x:c r="H12" s="153"/>
      <x:c r="I12" s="153"/>
    </x:row>
    <x:row r="13">
      <x:c r="A13" s="47" t="str">
        <x:v>Stav modelu</x:v>
      </x:c>
      <x:c r="B13" s="47" t="str">
        <x:f>IF(AND(COUNTIF('8. Materiály'!$K$6:$K$56,"POTVRZENO")=51,B9="ANO",B10="ANO",B11="ANO",COUNTIF(E40:E48,"CHYBÍ")=0),"PŘIPRAVENO","PROVIZORNÍ – SLEVY BLOKOVÁNY")</x:f>
        <x:v>PROVIZORNÍ – SLEVY BLOKOVÁNY</x:v>
      </x:c>
      <x:c r="C13" s="47" t="str">
        <x:v>AUTOMATICKÁ KONTROLA</x:v>
      </x:c>
      <x:c r="D13" s="47" t="str">
        <x:v>Řídí možnost použít slevu</x:v>
      </x:c>
      <x:c r="E13" s="153"/>
      <x:c r="F13" s="153"/>
      <x:c r="G13" s="153"/>
      <x:c r="H13" s="153"/>
      <x:c r="I13" s="153"/>
    </x:row>
    <x:row r="14">
      <x:c r="A14" s="47" t="str">
        <x:v>Efektivní stav slev</x:v>
      </x:c>
      <x:c r="B14" s="47" t="str">
        <x:f>IF(AND(B12="ANO",B13="PŘIPRAVENO"),"AKTIVNÍ","BLOKOVÁNO")</x:f>
        <x:v>BLOKOVÁNO</x:v>
      </x:c>
      <x:c r="C14" s="47" t="str">
        <x:v>AUTOMATICKÁ KONTROLA</x:v>
      </x:c>
      <x:c r="D14" s="47" t="str">
        <x:v>Slevy jsou při neúplných nákladech vždy blokovány</x:v>
      </x:c>
      <x:c r="E14" s="153"/>
      <x:c r="F14" s="153"/>
      <x:c r="G14" s="153"/>
      <x:c r="H14" s="153"/>
      <x:c r="I14" s="153"/>
    </x:row>
    <x:row r="15">
      <x:c r="A15" s="47"/>
      <x:c r="B15" s="47"/>
      <x:c r="C15" s="47"/>
      <x:c r="D15" s="47"/>
      <x:c r="E15" s="153"/>
      <x:c r="F15" s="153"/>
      <x:c r="G15" s="153"/>
      <x:c r="H15" s="153"/>
      <x:c r="I15" s="153"/>
    </x:row>
    <x:row r="16">
      <x:c r="A16" s="47" t="str">
        <x:v>Úplná výrobní sazba</x:v>
      </x:c>
      <x:c r="B16" s="50" t="n">
        <x:v>0</x:v>
      </x:c>
      <x:c r="C16" s="47" t="str">
        <x:v>DOPLNIT</x:v>
      </x:c>
      <x:c r="D16" s="47" t="str">
        <x:v>Kč za normohodinu včetně výrobní režie</x:v>
      </x:c>
      <x:c r="E16" s="153"/>
      <x:c r="F16" s="153"/>
      <x:c r="G16" s="153"/>
      <x:c r="H16" s="153"/>
      <x:c r="I16" s="153"/>
    </x:row>
    <x:row r="17">
      <x:c r="A17" s="47" t="str">
        <x:v>Cílová hrubá marže</x:v>
      </x:c>
      <x:c r="B17" s="51" t="n">
        <x:v>0.35</x:v>
      </x:c>
      <x:c r="C17" s="47" t="str">
        <x:v>MANAGEMENT</x:v>
      </x:c>
      <x:c r="D17" s="47" t="str">
        <x:v>Cíl pro ceníkovou cenu</x:v>
      </x:c>
      <x:c r="E17" s="153"/>
      <x:c r="F17" s="153"/>
      <x:c r="G17" s="153"/>
      <x:c r="H17" s="153"/>
      <x:c r="I17" s="153"/>
    </x:row>
    <x:row r="18">
      <x:c r="A18" s="47" t="str">
        <x:v>Minimální povolená marže</x:v>
      </x:c>
      <x:c r="B18" s="51" t="n">
        <x:v>0.2</x:v>
      </x:c>
      <x:c r="C18" s="47" t="str">
        <x:v>MANAGEMENT</x:v>
      </x:c>
      <x:c r="D18" s="47" t="str">
        <x:v>Pod tuto marži nesmí sleva cenu snížit</x:v>
      </x:c>
      <x:c r="E18" s="153"/>
      <x:c r="F18" s="153"/>
      <x:c r="G18" s="153"/>
      <x:c r="H18" s="153"/>
      <x:c r="I18" s="153"/>
    </x:row>
    <x:row r="19">
      <x:c r="A19" s="47" t="str">
        <x:v>Výchozí sazba DPH</x:v>
      </x:c>
      <x:c r="B19" s="51" t="n">
        <x:v>0.12</x:v>
      </x:c>
      <x:c r="C19" s="47" t="str">
        <x:v>DAŇOVÝ VSTUP</x:v>
      </x:c>
      <x:c r="D19" s="47" t="str">
        <x:v>Pouze modelový vstup; ověřit pro konkrétní projekt</x:v>
      </x:c>
      <x:c r="E19" s="153"/>
      <x:c r="F19" s="153"/>
      <x:c r="G19" s="153"/>
      <x:c r="H19" s="153"/>
      <x:c r="I19" s="153"/>
    </x:row>
    <x:row r="20">
      <x:c r="A20" s="47" t="str">
        <x:v>Daňový režim ověřen</x:v>
      </x:c>
      <x:c r="B20" s="49" t="str">
        <x:v>NE</x:v>
      </x:c>
      <x:c r="C20" s="47" t="str">
        <x:v>RUČNÍ KONTROLA</x:v>
      </x:c>
      <x:c r="D20" s="47" t="str">
        <x:v>Podmínky se posuzují podle typu stavby a projektu</x:v>
      </x:c>
      <x:c r="E20" s="153"/>
      <x:c r="F20" s="153"/>
      <x:c r="G20" s="153"/>
      <x:c r="H20" s="153"/>
      <x:c r="I20" s="153"/>
    </x:row>
    <x:row r="21">
      <x:c r="A21" s="47" t="str">
        <x:v>Měna</x:v>
      </x:c>
      <x:c r="B21" s="49" t="str">
        <x:v>CZK</x:v>
      </x:c>
      <x:c r="C21" s="47" t="str">
        <x:v>KONVENCE</x:v>
      </x:c>
      <x:c r="D21" s="47" t="str">
        <x:v>Všechny částky jsou bez DPH, není-li uvedeno jinak</x:v>
      </x:c>
      <x:c r="E21" s="153"/>
      <x:c r="F21" s="153"/>
      <x:c r="G21" s="153"/>
      <x:c r="H21" s="153"/>
      <x:c r="I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</x:row>
    <x:row r="23">
      <x:c r="A23" s="52" t="str">
        <x:v>2.2 PŘECHOD Z PROVIZORNÍ DÍLENSKÉ PŘIRÁŽKY NA NORMOHODINY</x:v>
      </x:c>
      <x:c r="B23" s="52"/>
      <x:c r="C23" s="52"/>
      <x:c r="D23" s="52"/>
      <x:c r="E23" s="52"/>
      <x:c r="F23" s="52"/>
      <x:c r="G23" s="52"/>
      <x:c r="H23" s="52"/>
      <x:c r="I23" s="52"/>
    </x:row>
    <x:row r="24">
      <x:c r="A24" s="16" t="str">
        <x:v>Kód panelu</x:v>
      </x:c>
      <x:c r="B24" s="16" t="str">
        <x:v>Normohodiny/m²</x:v>
      </x:c>
      <x:c r="C24" s="16" t="str">
        <x:v>Provizorní dílna Kč/m²</x:v>
      </x:c>
      <x:c r="D24" s="16" t="str">
        <x:v>Aktivní dílna Kč/m²</x:v>
      </x:c>
      <x:c r="E24" s="16" t="str">
        <x:v>Spotřebák Kč/m²</x:v>
      </x:c>
      <x:c r="F24" s="16" t="str">
        <x:v>Elektro a vývrty Kč/m²</x:v>
      </x:c>
      <x:c r="G24" s="16" t="str">
        <x:v>Stav vstupu</x:v>
      </x:c>
      <x:c r="H24" s="16" t="str">
        <x:v>Zdroj</x:v>
      </x:c>
      <x:c r="I24" s="16" t="str">
        <x:v>Poznámka</x:v>
      </x:c>
    </x:row>
    <x:row r="25">
      <x:c r="A25" s="46" t="str">
        <x:v>OS_VF_01</x:v>
      </x:c>
      <x:c r="B25" s="53" t="n">
        <x:v>0</x:v>
      </x:c>
      <x:c r="C25" s="54" t="n">
        <x:v>351.87</x:v>
      </x:c>
      <x:c r="D25" s="55" t="n">
        <x:f>IF(AND($B$9="ANO",$B$10="ANO",$B$16&gt;0,B25&gt;0),B25*$B$16,C25)</x:f>
        <x:v>351.87</x:v>
      </x:c>
      <x:c r="E25" s="54" t="n">
        <x:v>117.29000000000002</x:v>
      </x:c>
      <x:c r="F25" s="54" t="n">
        <x:v>70.37400000000001</x:v>
      </x:c>
      <x:c r="G25" s="56" t="str">
        <x:v>ODHAD</x:v>
      </x:c>
      <x:c r="H25" s="46" t="str">
        <x:v>Původní detailní skladba</x:v>
      </x:c>
      <x:c r="I25" s="46" t="str">
        <x:v>Po potvrzení norem se aktivní dílna přepočte jako Nh/m² × Kč/Nh</x:v>
      </x:c>
    </x:row>
    <x:row r="26">
      <x:c r="A26" s="47" t="str">
        <x:v>OS_VF_02</x:v>
      </x:c>
      <x:c r="B26" s="57" t="n">
        <x:v>0</x:v>
      </x:c>
      <x:c r="C26" s="58" t="n">
        <x:v>483.67499999999995</x:v>
      </x:c>
      <x:c r="D26" s="59" t="n">
        <x:f>IF(AND($B$9="ANO",$B$10="ANO",$B$16&gt;0,B26&gt;0),B26*$B$16,C26)</x:f>
        <x:v>483.67499999999995</x:v>
      </x:c>
      <x:c r="E26" s="58" t="n">
        <x:v>161.22500000000002</x:v>
      </x:c>
      <x:c r="F26" s="58" t="n">
        <x:v>96.735</x:v>
      </x:c>
      <x:c r="G26" s="49" t="str">
        <x:v>ODHAD</x:v>
      </x:c>
      <x:c r="H26" s="47" t="str">
        <x:v>Původní detailní skladba</x:v>
      </x:c>
      <x:c r="I26" s="47" t="str">
        <x:v>Po potvrzení norem se aktivní dílna přepočte jako Nh/m² × Kč/Nh</x:v>
      </x:c>
    </x:row>
    <x:row r="27">
      <x:c r="A27" s="47" t="str">
        <x:v>OS_VF_03</x:v>
      </x:c>
      <x:c r="B27" s="57" t="n">
        <x:v>0</x:v>
      </x:c>
      <x:c r="C27" s="58" t="n">
        <x:v>509.28000000000003</x:v>
      </x:c>
      <x:c r="D27" s="59" t="n">
        <x:f>IF(AND($B$9="ANO",$B$10="ANO",$B$16&gt;0,B27&gt;0),B27*$B$16,C27)</x:f>
        <x:v>509.28000000000003</x:v>
      </x:c>
      <x:c r="E27" s="58" t="n">
        <x:v>169.76000000000002</x:v>
      </x:c>
      <x:c r="F27" s="58" t="n">
        <x:v>101.85600000000001</x:v>
      </x:c>
      <x:c r="G27" s="49" t="str">
        <x:v>ODHAD</x:v>
      </x:c>
      <x:c r="H27" s="47" t="str">
        <x:v>Původní detailní skladba</x:v>
      </x:c>
      <x:c r="I27" s="47" t="str">
        <x:v>Po potvrzení norem se aktivní dílna přepočte jako Nh/m² × Kč/Nh</x:v>
      </x:c>
    </x:row>
    <x:row r="28">
      <x:c r="A28" s="47" t="str">
        <x:v>NS_VF_01</x:v>
      </x:c>
      <x:c r="B28" s="57" t="n">
        <x:v>0</x:v>
      </x:c>
      <x:c r="C28" s="58" t="n">
        <x:v>171.795</x:v>
      </x:c>
      <x:c r="D28" s="59" t="n">
        <x:f>IF(AND($B$9="ANO",$B$10="ANO",$B$16&gt;0,B28&gt;0),B28*$B$16,C28)</x:f>
        <x:v>171.795</x:v>
      </x:c>
      <x:c r="E28" s="58" t="n">
        <x:v>57.265</x:v>
      </x:c>
      <x:c r="F28" s="58" t="n">
        <x:v>34.358999999999995</x:v>
      </x:c>
      <x:c r="G28" s="49" t="str">
        <x:v>ODHAD</x:v>
      </x:c>
      <x:c r="H28" s="47" t="str">
        <x:v>Původní detailní skladba</x:v>
      </x:c>
      <x:c r="I28" s="47" t="str">
        <x:v>Po potvrzení norem se aktivní dílna přepočte jako Nh/m² × Kč/Nh</x:v>
      </x:c>
    </x:row>
    <x:row r="29">
      <x:c r="A29" s="47" t="str">
        <x:v>DS_VF_01</x:v>
      </x:c>
      <x:c r="B29" s="57" t="n">
        <x:v>0</x:v>
      </x:c>
      <x:c r="C29" s="58" t="n">
        <x:v>232.71</x:v>
      </x:c>
      <x:c r="D29" s="59" t="n">
        <x:f>IF(AND($B$9="ANO",$B$10="ANO",$B$16&gt;0,B29&gt;0),B29*$B$16,C29)</x:f>
        <x:v>232.71</x:v>
      </x:c>
      <x:c r="E29" s="58" t="n">
        <x:v>77.57000000000001</x:v>
      </x:c>
      <x:c r="F29" s="58" t="n">
        <x:v>46.542</x:v>
      </x:c>
      <x:c r="G29" s="49" t="str">
        <x:v>ODHAD</x:v>
      </x:c>
      <x:c r="H29" s="47" t="str">
        <x:v>Původní detailní skladba</x:v>
      </x:c>
      <x:c r="I29" s="47" t="str">
        <x:v>Po potvrzení norem se aktivní dílna přepočte jako Nh/m² × Kč/Nh</x:v>
      </x:c>
    </x:row>
    <x:row r="30">
      <x:c r="A30" s="47" t="str">
        <x:v>PS_VF_01</x:v>
      </x:c>
      <x:c r="B30" s="57" t="n">
        <x:v>0</x:v>
      </x:c>
      <x:c r="C30" s="58" t="n">
        <x:v>128.205</x:v>
      </x:c>
      <x:c r="D30" s="59" t="n">
        <x:f>IF(AND($B$9="ANO",$B$10="ANO",$B$16&gt;0,B30&gt;0),B30*$B$16,C30)</x:f>
        <x:v>128.205</x:v>
      </x:c>
      <x:c r="E30" s="58" t="n">
        <x:v>42.73500000000001</x:v>
      </x:c>
      <x:c r="F30" s="58" t="n">
        <x:v>25.641000000000002</x:v>
      </x:c>
      <x:c r="G30" s="49" t="str">
        <x:v>ODHAD</x:v>
      </x:c>
      <x:c r="H30" s="47" t="str">
        <x:v>Původní detailní skladba</x:v>
      </x:c>
      <x:c r="I30" s="47" t="str">
        <x:v>Po potvrzení norem se aktivní dílna přepočte jako Nh/m² × Kč/Nh</x:v>
      </x:c>
    </x:row>
    <x:row r="31">
      <x:c r="A31" s="47" t="str">
        <x:v>STROP_RD</x:v>
      </x:c>
      <x:c r="B31" s="57" t="n">
        <x:v>0</x:v>
      </x:c>
      <x:c r="C31" s="58" t="n">
        <x:v>291.45</x:v>
      </x:c>
      <x:c r="D31" s="59" t="n">
        <x:f>IF(AND($B$9="ANO",$B$10="ANO",$B$16&gt;0,B31&gt;0),B31*$B$16,C31)</x:f>
        <x:v>291.45</x:v>
      </x:c>
      <x:c r="E31" s="58" t="n">
        <x:v>97.15</x:v>
      </x:c>
      <x:c r="F31" s="58" t="n">
        <x:v>58.29</x:v>
      </x:c>
      <x:c r="G31" s="49" t="str">
        <x:v>ODHAD</x:v>
      </x:c>
      <x:c r="H31" s="47" t="str">
        <x:v>Původní detailní skladba</x:v>
      </x:c>
      <x:c r="I31" s="47" t="str">
        <x:v>Po potvrzení norem se aktivní dílna přepočte jako Nh/m² × Kč/Nh</x:v>
      </x:c>
    </x:row>
    <x:row r="32">
      <x:c r="A32" s="47" t="str">
        <x:v>STROP_BD</x:v>
      </x:c>
      <x:c r="B32" s="57" t="n">
        <x:v>0</x:v>
      </x:c>
      <x:c r="C32" s="58" t="n">
        <x:v>519.765</x:v>
      </x:c>
      <x:c r="D32" s="59" t="n">
        <x:f>IF(AND($B$9="ANO",$B$10="ANO",$B$16&gt;0,B32&gt;0),B32*$B$16,C32)</x:f>
        <x:v>519.765</x:v>
      </x:c>
      <x:c r="E32" s="58" t="n">
        <x:v>173.255</x:v>
      </x:c>
      <x:c r="F32" s="58" t="n">
        <x:v>103.95299999999999</x:v>
      </x:c>
      <x:c r="G32" s="49" t="str">
        <x:v>ODHAD</x:v>
      </x:c>
      <x:c r="H32" s="47" t="str">
        <x:v>Původní detailní skladba</x:v>
      </x:c>
      <x:c r="I32" s="47" t="str">
        <x:v>Po potvrzení norem se aktivní dílna přepočte jako Nh/m² × Kč/Nh</x:v>
      </x:c>
    </x:row>
    <x:row r="33">
      <x:c r="A33" s="47" t="str">
        <x:v>STRECHA_SIKMA</x:v>
      </x:c>
      <x:c r="B33" s="57" t="n">
        <x:v>0</x:v>
      </x:c>
      <x:c r="C33" s="58" t="n">
        <x:v>354.39000000000004</x:v>
      </x:c>
      <x:c r="D33" s="59" t="n">
        <x:f>IF(AND($B$9="ANO",$B$10="ANO",$B$16&gt;0,B33&gt;0),B33*$B$16,C33)</x:f>
        <x:v>354.39000000000004</x:v>
      </x:c>
      <x:c r="E33" s="58" t="n">
        <x:v>118.13000000000002</x:v>
      </x:c>
      <x:c r="F33" s="58" t="n">
        <x:v>70.87800000000001</x:v>
      </x:c>
      <x:c r="G33" s="49" t="str">
        <x:v>ODHAD</x:v>
      </x:c>
      <x:c r="H33" s="47" t="str">
        <x:v>Původní detailní skladba</x:v>
      </x:c>
      <x:c r="I33" s="47" t="str">
        <x:v>Po potvrzení norem se aktivní dílna přepočte jako Nh/m² × Kč/Nh</x:v>
      </x:c>
    </x:row>
    <x:row r="34">
      <x:c r="A34" s="47" t="str">
        <x:v>STRECHA_PLOCHA</x:v>
      </x:c>
      <x:c r="B34" s="57" t="n">
        <x:v>0</x:v>
      </x:c>
      <x:c r="C34" s="58" t="n">
        <x:v>444.92999999999995</x:v>
      </x:c>
      <x:c r="D34" s="59" t="n">
        <x:f>IF(AND($B$9="ANO",$B$10="ANO",$B$16&gt;0,B34&gt;0),B34*$B$16,C34)</x:f>
        <x:v>444.92999999999995</x:v>
      </x:c>
      <x:c r="E34" s="58" t="n">
        <x:v>148.31</x:v>
      </x:c>
      <x:c r="F34" s="58" t="n">
        <x:v>88.98599999999999</x:v>
      </x:c>
      <x:c r="G34" s="49" t="str">
        <x:v>ODHAD</x:v>
      </x:c>
      <x:c r="H34" s="47" t="str">
        <x:v>Původní detailní skladba</x:v>
      </x:c>
      <x:c r="I34" s="47" t="str">
        <x:v>Po potvrzení norem se aktivní dílna přepočte jako Nh/m² × Kč/Nh</x:v>
      </x:c>
    </x:row>
    <x:row r="35">
      <x:c r="A35" s="47" t="str">
        <x:v>PODLAHA_1NP</x:v>
      </x:c>
      <x:c r="B35" s="57" t="n">
        <x:v>0</x:v>
      </x:c>
      <x:c r="C35" s="58" t="n">
        <x:v>171.36</x:v>
      </x:c>
      <x:c r="D35" s="59" t="n">
        <x:f>IF(AND($B$9="ANO",$B$10="ANO",$B$16&gt;0,B35&gt;0),B35*$B$16,C35)</x:f>
        <x:v>171.36</x:v>
      </x:c>
      <x:c r="E35" s="58" t="n">
        <x:v>57.120000000000005</x:v>
      </x:c>
      <x:c r="F35" s="58" t="n">
        <x:v>34.272</x:v>
      </x:c>
      <x:c r="G35" s="49" t="str">
        <x:v>ODHAD</x:v>
      </x:c>
      <x:c r="H35" s="47" t="str">
        <x:v>Původní detailní skladba</x:v>
      </x:c>
      <x:c r="I35" s="47" t="str">
        <x:v>Po potvrzení norem se aktivní dílna přepočte jako Nh/m² × Kč/Nh</x:v>
      </x:c>
    </x:row>
    <x:row r="36">
      <x:c r="A36" s="153"/>
      <x:c r="B36" s="153"/>
      <x:c r="C36" s="153"/>
      <x:c r="D36" s="153"/>
      <x:c r="E36" s="153"/>
      <x:c r="F36" s="153"/>
      <x:c r="G36" s="153"/>
      <x:c r="H36" s="153"/>
      <x:c r="I36" s="153"/>
    </x:row>
    <x:row r="37">
      <x:c r="A37" s="153"/>
      <x:c r="B37" s="153"/>
      <x:c r="C37" s="153"/>
      <x:c r="D37" s="153"/>
      <x:c r="E37" s="153"/>
      <x:c r="F37" s="153"/>
      <x:c r="G37" s="153"/>
      <x:c r="H37" s="153"/>
      <x:c r="I37" s="153"/>
    </x:row>
    <x:row r="38">
      <x:c r="A38" s="52" t="str">
        <x:v>2.3 SLUŽBY — ODDĚLENÍ NÁKLADU A PRODEJNÍHO PRAVIDLA</x:v>
      </x:c>
      <x:c r="B38" s="52"/>
      <x:c r="C38" s="52"/>
      <x:c r="D38" s="52"/>
      <x:c r="E38" s="52"/>
      <x:c r="F38" s="52"/>
      <x:c r="G38" s="52"/>
      <x:c r="H38" s="52"/>
      <x:c r="I38" s="52"/>
    </x:row>
    <x:row r="39">
      <x:c r="A39" s="16" t="str">
        <x:v>Kód služby</x:v>
      </x:c>
      <x:c r="B39" s="16" t="str">
        <x:v>Služba</x:v>
      </x:c>
      <x:c r="C39" s="16" t="str">
        <x:v>Jednotka</x:v>
      </x:c>
      <x:c r="D39" s="16" t="str">
        <x:v>Standardní náklad</x:v>
      </x:c>
      <x:c r="E39" s="16" t="str">
        <x:v>Stav nákladu</x:v>
      </x:c>
      <x:c r="F39" s="16" t="str">
        <x:v>Prodejní metoda</x:v>
      </x:c>
      <x:c r="G39" s="16" t="str">
        <x:v>Prodejní parametr</x:v>
      </x:c>
      <x:c r="H39" s="16" t="str">
        <x:v>Cílová marže</x:v>
      </x:c>
      <x:c r="I39" s="16" t="str">
        <x:v>Zdroj / poznámka</x:v>
      </x:c>
    </x:row>
    <x:row r="40">
      <x:c r="A40" s="46" t="str">
        <x:v>MONTAGE</x:v>
      </x:c>
      <x:c r="B40" s="46" t="str">
        <x:v>Certifikovaná montáž hrubé stavby</x:v>
      </x:c>
      <x:c r="C40" s="46" t="str">
        <x:v>projekt</x:v>
      </x:c>
      <x:c r="D40" s="54" t="n">
        <x:v>0</x:v>
      </x:c>
      <x:c r="E40" s="56" t="str">
        <x:v>CHYBÍ</x:v>
      </x:c>
      <x:c r="F40" s="46" t="str">
        <x:v>PROCENTO_PANELŮ</x:v>
      </x:c>
      <x:c r="G40" s="60" t="n">
        <x:v>0.18</x:v>
      </x:c>
      <x:c r="H40" s="60" t="n">
        <x:v>0.35</x:v>
      </x:c>
      <x:c r="I40" s="46" t="str">
        <x:v>Původní sazebník: 18 % z panelů; skutečný náklad doplnit</x:v>
      </x:c>
    </x:row>
    <x:row r="41">
      <x:c r="A41" s="47" t="str">
        <x:v>CRANE</x:v>
      </x:c>
      <x:c r="B41" s="47" t="str">
        <x:v>Těžký autojeřáb a manipulace</x:v>
      </x:c>
      <x:c r="C41" s="47" t="str">
        <x:v>projekt</x:v>
      </x:c>
      <x:c r="D41" s="58" t="n">
        <x:v>0</x:v>
      </x:c>
      <x:c r="E41" s="49" t="str">
        <x:v>CHYBÍ</x:v>
      </x:c>
      <x:c r="F41" s="47" t="str">
        <x:v>PROCENTO_PANELŮ</x:v>
      </x:c>
      <x:c r="G41" s="51" t="n">
        <x:v>0.04</x:v>
      </x:c>
      <x:c r="H41" s="51" t="n">
        <x:v>0.35</x:v>
      </x:c>
      <x:c r="I41" s="47" t="str">
        <x:v>Původní sazebník: 4 % z panelů; skutečný náklad doplnit</x:v>
      </x:c>
    </x:row>
    <x:row r="42">
      <x:c r="A42" s="47" t="str">
        <x:v>SITE_PREP</x:v>
      </x:c>
      <x:c r="B42" s="47" t="str">
        <x:v>Zařízení staveniště a lešení</x:v>
      </x:c>
      <x:c r="C42" s="47" t="str">
        <x:v>projekt</x:v>
      </x:c>
      <x:c r="D42" s="58" t="n">
        <x:v>55000</x:v>
      </x:c>
      <x:c r="E42" s="49" t="str">
        <x:v>ODHAD</x:v>
      </x:c>
      <x:c r="F42" s="47" t="str">
        <x:v>FIX</x:v>
      </x:c>
      <x:c r="G42" s="50" t="n">
        <x:v>55000</x:v>
      </x:c>
      <x:c r="H42" s="51" t="n">
        <x:v>0</x:v>
      </x:c>
      <x:c r="I42" s="47" t="str">
        <x:v>Součet původních položek 55 000 Kč; dočasně bez marže</x:v>
      </x:c>
    </x:row>
    <x:row r="43">
      <x:c r="A43" s="47" t="str">
        <x:v>TECH_RESERVE</x:v>
      </x:c>
      <x:c r="B43" s="47" t="str">
        <x:v>Technická rezerva na vícepráce</x:v>
      </x:c>
      <x:c r="C43" s="47" t="str">
        <x:v>% z mezisoučtu</x:v>
      </x:c>
      <x:c r="D43" s="58" t="n">
        <x:v>0</x:v>
      </x:c>
      <x:c r="E43" s="49" t="str">
        <x:v>PRAVIDLO</x:v>
      </x:c>
      <x:c r="F43" s="47" t="str">
        <x:v>PROCENTO_MEZISOUČTU</x:v>
      </x:c>
      <x:c r="G43" s="51" t="n">
        <x:v>0.03</x:v>
      </x:c>
      <x:c r="H43" s="51" t="n">
        <x:v>0</x:v>
      </x:c>
      <x:c r="I43" s="47" t="str">
        <x:v>Interní riziková rezerva, není považována za zisk</x:v>
      </x:c>
    </x:row>
    <x:row r="44">
      <x:c r="A44" s="47" t="str">
        <x:v>TRANSPORT_Z1</x:v>
      </x:c>
      <x:c r="B44" s="47" t="str">
        <x:v>Doprava – Zóna 1</x:v>
      </x:c>
      <x:c r="C44" s="47" t="str">
        <x:v>kamion</x:v>
      </x:c>
      <x:c r="D44" s="58" t="n">
        <x:v>0</x:v>
      </x:c>
      <x:c r="E44" s="49" t="str">
        <x:v>CHYBÍ</x:v>
      </x:c>
      <x:c r="F44" s="47" t="str">
        <x:v>ZA_KAMION</x:v>
      </x:c>
      <x:c r="G44" s="50" t="n">
        <x:v>6500</x:v>
      </x:c>
      <x:c r="H44" s="51" t="n">
        <x:v>0.2</x:v>
      </x:c>
      <x:c r="I44" s="47" t="str">
        <x:v>Původní referenční prodejní cena</x:v>
      </x:c>
    </x:row>
    <x:row r="45">
      <x:c r="A45" s="47" t="str">
        <x:v>TRANSPORT_Z2</x:v>
      </x:c>
      <x:c r="B45" s="47" t="str">
        <x:v>Doprava – Zóna 2</x:v>
      </x:c>
      <x:c r="C45" s="47" t="str">
        <x:v>kamion</x:v>
      </x:c>
      <x:c r="D45" s="58" t="n">
        <x:v>0</x:v>
      </x:c>
      <x:c r="E45" s="49" t="str">
        <x:v>CHYBÍ</x:v>
      </x:c>
      <x:c r="F45" s="47" t="str">
        <x:v>ZA_KAMION</x:v>
      </x:c>
      <x:c r="G45" s="50" t="n">
        <x:v>11500</x:v>
      </x:c>
      <x:c r="H45" s="51" t="n">
        <x:v>0.2</x:v>
      </x:c>
      <x:c r="I45" s="47" t="str">
        <x:v>Původní referenční prodejní cena</x:v>
      </x:c>
    </x:row>
    <x:row r="46">
      <x:c r="A46" s="47" t="str">
        <x:v>TRANSPORT_Z3</x:v>
      </x:c>
      <x:c r="B46" s="47" t="str">
        <x:v>Doprava – Zóna 3</x:v>
      </x:c>
      <x:c r="C46" s="47" t="str">
        <x:v>kamion</x:v>
      </x:c>
      <x:c r="D46" s="58" t="n">
        <x:v>0</x:v>
      </x:c>
      <x:c r="E46" s="49" t="str">
        <x:v>CHYBÍ</x:v>
      </x:c>
      <x:c r="F46" s="47" t="str">
        <x:v>ZA_KAMION</x:v>
      </x:c>
      <x:c r="G46" s="50" t="n">
        <x:v>16500</x:v>
      </x:c>
      <x:c r="H46" s="51" t="n">
        <x:v>0.2</x:v>
      </x:c>
      <x:c r="I46" s="47" t="str">
        <x:v>Původní referenční prodejní cena</x:v>
      </x:c>
    </x:row>
    <x:row r="47">
      <x:c r="A47" s="47" t="str">
        <x:v>TRANSPORT_Z4</x:v>
      </x:c>
      <x:c r="B47" s="47" t="str">
        <x:v>Doprava – Zóna 4</x:v>
      </x:c>
      <x:c r="C47" s="47" t="str">
        <x:v>kamion</x:v>
      </x:c>
      <x:c r="D47" s="58" t="n">
        <x:v>0</x:v>
      </x:c>
      <x:c r="E47" s="49" t="str">
        <x:v>CHYBÍ</x:v>
      </x:c>
      <x:c r="F47" s="47" t="str">
        <x:v>ZA_KAMION</x:v>
      </x:c>
      <x:c r="G47" s="50" t="n">
        <x:v>21500</x:v>
      </x:c>
      <x:c r="H47" s="51" t="n">
        <x:v>0.2</x:v>
      </x:c>
      <x:c r="I47" s="47" t="str">
        <x:v>Původní referenční prodejní cena</x:v>
      </x:c>
    </x:row>
    <x:row r="48">
      <x:c r="A48" s="47" t="str">
        <x:v>TRANSPORT_Z5</x:v>
      </x:c>
      <x:c r="B48" s="47" t="str">
        <x:v>Doprava – Zóna 5</x:v>
      </x:c>
      <x:c r="C48" s="47" t="str">
        <x:v>kamion</x:v>
      </x:c>
      <x:c r="D48" s="58" t="n">
        <x:v>0</x:v>
      </x:c>
      <x:c r="E48" s="49" t="str">
        <x:v>CHYBÍ</x:v>
      </x:c>
      <x:c r="F48" s="47" t="str">
        <x:v>ZA_KAMION</x:v>
      </x:c>
      <x:c r="G48" s="50" t="n">
        <x:v>26500</x:v>
      </x:c>
      <x:c r="H48" s="51" t="n">
        <x:v>0.2</x:v>
      </x:c>
      <x:c r="I48" s="47" t="str">
        <x:v>Původní referenční prodejní cena</x:v>
      </x:c>
    </x:row>
    <x:row r="49">
      <x:c r="A49" s="153"/>
      <x:c r="B49" s="153"/>
      <x:c r="C49" s="153"/>
      <x:c r="D49" s="153"/>
      <x:c r="E49" s="153"/>
      <x:c r="F49" s="153"/>
      <x:c r="G49" s="153"/>
      <x:c r="H49" s="153"/>
      <x:c r="I49" s="153"/>
    </x:row>
    <x:row r="50">
      <x:c r="A50" s="153"/>
      <x:c r="B50" s="153"/>
      <x:c r="C50" s="153"/>
      <x:c r="D50" s="153"/>
      <x:c r="E50" s="153"/>
      <x:c r="F50" s="153"/>
      <x:c r="G50" s="153"/>
      <x:c r="H50" s="153"/>
      <x:c r="I50" s="153"/>
    </x:row>
    <x:row r="51">
      <x:c r="A51" s="153"/>
      <x:c r="B51" s="153"/>
      <x:c r="C51" s="153"/>
      <x:c r="D51" s="153"/>
      <x:c r="E51" s="153"/>
      <x:c r="F51" s="154" t="str">
        <x:v>Legenda</x:v>
      </x:c>
      <x:c r="G51" s="154"/>
      <x:c r="H51" s="154"/>
      <x:c r="I51" s="154"/>
    </x:row>
    <x:row r="52">
      <x:c r="A52" s="153"/>
      <x:c r="B52" s="153"/>
      <x:c r="C52" s="153"/>
      <x:c r="D52" s="153"/>
      <x:c r="E52" s="153"/>
      <x:c r="F52" s="155" t="str">
        <x:v>Modrý text / žluté pole</x:v>
      </x:c>
      <x:c r="G52" s="153" t="str">
        <x:v>uživatelský vstup</x:v>
      </x:c>
      <x:c r="H52" s="153"/>
      <x:c r="I52" s="153"/>
    </x:row>
    <x:row r="53">
      <x:c r="A53" s="153"/>
      <x:c r="B53" s="153"/>
      <x:c r="C53" s="153"/>
      <x:c r="D53" s="153"/>
      <x:c r="E53" s="153"/>
      <x:c r="F53" s="156" t="str">
        <x:v>Zelený text</x:v>
      </x:c>
      <x:c r="G53" s="153" t="str">
        <x:v>odkaz na jiný list</x:v>
      </x:c>
      <x:c r="H53" s="153"/>
      <x:c r="I53" s="153"/>
    </x:row>
    <x:row r="54">
      <x:c r="A54" s="153"/>
      <x:c r="B54" s="153"/>
      <x:c r="C54" s="153"/>
      <x:c r="D54" s="153"/>
      <x:c r="E54" s="153"/>
      <x:c r="F54" s="153" t="str">
        <x:v>Černý text</x:v>
      </x:c>
      <x:c r="G54" s="153" t="str">
        <x:v>vzorec nebo výstup</x:v>
      </x:c>
      <x:c r="H54" s="153"/>
      <x:c r="I54" s="153"/>
    </x:row>
  </x:sheetData>
  <x:mergeCells>
    <x:mergeCell ref="A1:I1"/>
    <x:mergeCell ref="A2:I2"/>
    <x:mergeCell ref="A4:I4"/>
    <x:mergeCell ref="A23:I23"/>
    <x:mergeCell ref="A38:I38"/>
  </x:mergeCells>
  <x:conditionalFormatting sqref="B13:B14">
    <x:cfRule type="containsText" dxfId="0" priority="1" operator="containsText" text="PŘIPRAVENO"/>
    <x:cfRule type="containsText" dxfId="1" priority="2" operator="containsText" text="AKTIVNÍ"/>
    <x:cfRule type="containsText" dxfId="2" priority="3" operator="containsText" text="BLOKOVÁNO"/>
    <x:cfRule type="containsText" dxfId="3" priority="4" operator="containsText" text="CHYBÍ"/>
    <x:cfRule type="containsText" dxfId="4" priority="5" operator="containsText" text="DOPLNIT"/>
    <x:cfRule type="containsText" dxfId="5" priority="6" operator="containsText" text="PROVIZORNÍ"/>
  </x:conditionalFormatting>
  <x:conditionalFormatting sqref="G25:G35">
    <x:cfRule type="containsText" dxfId="6" priority="7" operator="containsText" text="PŘIPRAVENO"/>
    <x:cfRule type="containsText" dxfId="7" priority="8" operator="containsText" text="AKTIVNÍ"/>
    <x:cfRule type="containsText" dxfId="8" priority="9" operator="containsText" text="BLOKOVÁNO"/>
    <x:cfRule type="containsText" dxfId="9" priority="10" operator="containsText" text="CHYBÍ"/>
    <x:cfRule type="containsText" dxfId="10" priority="11" operator="containsText" text="DOPLNIT"/>
    <x:cfRule type="containsText" dxfId="11" priority="12" operator="containsText" text="PROVIZORNÍ"/>
  </x:conditionalFormatting>
  <x:conditionalFormatting sqref="E40:E48">
    <x:cfRule type="containsText" dxfId="12" priority="13" operator="containsText" text="PŘIPRAVENO"/>
    <x:cfRule type="containsText" dxfId="13" priority="14" operator="containsText" text="AKTIVNÍ"/>
    <x:cfRule type="containsText" dxfId="14" priority="15" operator="containsText" text="BLOKOVÁNO"/>
    <x:cfRule type="containsText" dxfId="15" priority="16" operator="containsText" text="CHYBÍ"/>
    <x:cfRule type="containsText" dxfId="16" priority="17" operator="containsText" text="DOPLNIT"/>
    <x:cfRule type="containsText" dxfId="17" priority="18" operator="containsText" text="PROVIZORNÍ"/>
  </x:conditionalFormatting>
  <x:dataValidations count="4">
    <x:dataValidation type="list" sqref="B8:B12">
      <x:formula1>"ANO,NE"</x:formula1>
    </x:dataValidation>
    <x:dataValidation type="list" sqref="B20">
      <x:formula1>"ANO,NE"</x:formula1>
    </x:dataValidation>
    <x:dataValidation type="list" sqref="G25:G35">
      <x:formula1>"ODHAD,POTVRZENO"</x:formula1>
    </x:dataValidation>
    <x:dataValidation type="list" sqref="E40:E48">
      <x:formula1>"CHYBÍ,ODHAD,POTVRZENO,PRAVIDLO"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9" hidden="0" customWidth="1"/>
    <x:col min="16" max="16" width="19" hidden="0" customWidth="1"/>
  </x:cols>
  <x:sheetData>
    <x:row r="1" ht="36" customHeight="1">
      <x:c r="A1" s="40" t="str">
        <x:v>VESPER FRAMES — JEDNOTNÝ NÁKLADOVÝ A PRODEJNÍ CENÍK V2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25" customHeight="1">
      <x:c r="A2" s="6" t="str">
        <x:v>Souhrn se vždy dopočítává z detailních skladeb a řízených vstupů. Neobsahuje ručně přepsané mezisoučty.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</x:row>
    <x:row r="4">
      <x:c r="A4" s="10" t="str">
        <x:v>3.1 TYPOVÉ PANELY — NÁKLAD, CÍLOVÁ CENA, BENCHMARK A SLEVOVÝ LIMIT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</x:row>
    <x:row r="5">
      <x:c r="A5" s="16" t="str">
        <x:v>Kód</x:v>
      </x:c>
      <x:c r="B5" s="16" t="str">
        <x:v>Panel</x:v>
      </x:c>
      <x:c r="C5" s="16" t="str">
        <x:v>Tloušťka mm</x:v>
      </x:c>
      <x:c r="D5" s="16" t="str">
        <x:v>Materiál Kč/m²</x:v>
      </x:c>
      <x:c r="E5" s="16" t="str">
        <x:v>Spotřebák Kč/m²</x:v>
      </x:c>
      <x:c r="F5" s="16" t="str">
        <x:v>Elektro/vývrty Kč/m²</x:v>
      </x:c>
      <x:c r="G5" s="16" t="str">
        <x:v>Dílna Kč/m²</x:v>
      </x:c>
      <x:c r="H5" s="16" t="str">
        <x:v>Přímý náklad Kč/m²</x:v>
      </x:c>
      <x:c r="I5" s="16" t="str">
        <x:v>Cílová marže</x:v>
      </x:c>
      <x:c r="J5" s="16" t="str">
        <x:v>Cílová cena Kč/m²</x:v>
      </x:c>
      <x:c r="K5" s="16" t="str">
        <x:v>Benchmark medián</x:v>
      </x:c>
      <x:c r="L5" s="16" t="str">
        <x:v>Odchylka od benchmarku</x:v>
      </x:c>
      <x:c r="M5" s="16" t="str">
        <x:v>Min. marže</x:v>
      </x:c>
      <x:c r="N5" s="16" t="str">
        <x:v>Max. sleva</x:v>
      </x:c>
      <x:c r="O5" s="16" t="str">
        <x:v>Stav nákladů</x:v>
      </x:c>
      <x:c r="P5" s="16" t="str">
        <x:v>Stav slevy</x:v>
      </x:c>
    </x:row>
    <x:row r="6">
      <x:c r="A6" s="46" t="str">
        <x:v>OS_VF_01</x:v>
      </x:c>
      <x:c r="B6" s="46" t="str">
        <x:v>Obvodová stěna kontaktní (DNK 1.1)</x:v>
      </x:c>
      <x:c r="C6" s="78" t="n">
        <x:v>358.5</x:v>
      </x:c>
      <x:c r="D6" s="87" t="n">
        <x:f>SUMIF('4. Skladby'!$A$6:$A$73,A6,'4. Skladby'!$K$6:$K$73)</x:f>
        <x:v>2345.8</x:v>
      </x:c>
      <x:c r="E6" s="87" t="n">
        <x:f>INDEX('2. Vstupy'!$E$25:$E$35,MATCH(A6,'2. Vstupy'!$A$25:$A$35,0))</x:f>
        <x:v>117.29000000000002</x:v>
      </x:c>
      <x:c r="F6" s="87" t="n">
        <x:f>INDEX('2. Vstupy'!$F$25:$F$35,MATCH(A6,'2. Vstupy'!$A$25:$A$35,0))</x:f>
        <x:v>70.37400000000001</x:v>
      </x:c>
      <x:c r="G6" s="87" t="n">
        <x:f>INDEX('2. Vstupy'!$D$25:$D$35,MATCH(A6,'2. Vstupy'!$A$25:$A$35,0))</x:f>
        <x:v>351.87</x:v>
      </x:c>
      <x:c r="H6" s="87" t="n">
        <x:f>SUM(D6:G6)</x:f>
        <x:v>2885.334</x:v>
      </x:c>
      <x:c r="I6" s="88" t="n">
        <x:f>'2. Vstupy'!$B$17</x:f>
        <x:v>0.35</x:v>
      </x:c>
      <x:c r="J6" s="87" t="n">
        <x:f>H6/(1-I6)</x:f>
        <x:v>4438.975384615384</x:v>
      </x:c>
      <x:c r="K6" s="87" t="n">
        <x:f>IFERROR(INDEX('5. Benchmark'!$D$10:$D$20,MATCH(A6,'5. Benchmark'!$A$10:$A$20,0)),"")</x:f>
        <x:v>6760.8</x:v>
      </x:c>
      <x:c r="L6" s="88" t="n">
        <x:f>IFERROR(J6/K6-1,"")</x:f>
        <x:v>-0.3434245378334836</x:v>
      </x:c>
      <x:c r="M6" s="88" t="n">
        <x:f>'2. Vstupy'!$B$18</x:f>
        <x:v>0.2</x:v>
      </x:c>
      <x:c r="N6" s="88" t="n">
        <x:f>MAX(0,1-H6/(J6*(1-M6)))</x:f>
        <x:v>0.1875000000000001</x:v>
      </x:c>
      <x:c r="O6" s="89" t="str">
        <x:f>IF('2. Vstupy'!$B$13="PŘIPRAVENO","POTVRZENO","PROVIZORNÍ")</x:f>
        <x:v>PROVIZORNÍ</x:v>
      </x:c>
      <x:c r="P6" s="89" t="str">
        <x:f>'2. Vstupy'!$B$14</x:f>
        <x:v>BLOKOVÁNO</x:v>
      </x:c>
    </x:row>
    <x:row r="7">
      <x:c r="A7" s="47" t="str">
        <x:v>OS_VF_02</x:v>
      </x:c>
      <x:c r="B7" s="47" t="str">
        <x:v>Obvodová stěna s modřínovým obkladem (DNK 1.2)</x:v>
      </x:c>
      <x:c r="C7" s="79" t="n">
        <x:v>431</x:v>
      </x:c>
      <x:c r="D7" s="90" t="n">
        <x:f>SUMIF('4. Skladby'!$A$6:$A$73,A7,'4. Skladby'!$K$6:$K$73)</x:f>
        <x:v>3224.5</x:v>
      </x:c>
      <x:c r="E7" s="90" t="n">
        <x:f>INDEX('2. Vstupy'!$E$25:$E$35,MATCH(A7,'2. Vstupy'!$A$25:$A$35,0))</x:f>
        <x:v>161.22500000000002</x:v>
      </x:c>
      <x:c r="F7" s="90" t="n">
        <x:f>INDEX('2. Vstupy'!$F$25:$F$35,MATCH(A7,'2. Vstupy'!$A$25:$A$35,0))</x:f>
        <x:v>96.735</x:v>
      </x:c>
      <x:c r="G7" s="90" t="n">
        <x:f>INDEX('2. Vstupy'!$D$25:$D$35,MATCH(A7,'2. Vstupy'!$A$25:$A$35,0))</x:f>
        <x:v>483.67499999999995</x:v>
      </x:c>
      <x:c r="H7" s="90" t="n">
        <x:f>SUM(D7:G7)</x:f>
        <x:v>3966.135</x:v>
      </x:c>
      <x:c r="I7" s="91" t="n">
        <x:f>'2. Vstupy'!$B$17</x:f>
        <x:v>0.35</x:v>
      </x:c>
      <x:c r="J7" s="90" t="n">
        <x:f>H7/(1-I7)</x:f>
        <x:v>6101.746153846154</x:v>
      </x:c>
      <x:c r="K7" s="90" t="n">
        <x:f>IFERROR(INDEX('5. Benchmark'!$D$10:$D$20,MATCH(A7,'5. Benchmark'!$A$10:$A$20,0)),"")</x:f>
        <x:v>10631.685</x:v>
      </x:c>
      <x:c r="L7" s="91" t="n">
        <x:f>IFERROR(J7/K7-1,"")</x:f>
        <x:v>-0.4260791065718976</x:v>
      </x:c>
      <x:c r="M7" s="91" t="n">
        <x:f>'2. Vstupy'!$B$18</x:f>
        <x:v>0.2</x:v>
      </x:c>
      <x:c r="N7" s="91" t="n">
        <x:f>MAX(0,1-H7/(J7*(1-M7)))</x:f>
        <x:v>0.1875</x:v>
      </x:c>
      <x:c r="O7" s="92" t="str">
        <x:f>IF('2. Vstupy'!$B$13="PŘIPRAVENO","POTVRZENO","PROVIZORNÍ")</x:f>
        <x:v>PROVIZORNÍ</x:v>
      </x:c>
      <x:c r="P7" s="92" t="str">
        <x:f>'2. Vstupy'!$B$14</x:f>
        <x:v>BLOKOVÁNO</x:v>
      </x:c>
    </x:row>
    <x:row r="8">
      <x:c r="A8" s="47" t="str">
        <x:v>OS_VF_03</x:v>
      </x:c>
      <x:c r="B8" s="47" t="str">
        <x:v>Obvodová stěna Thermofasáda DP1</x:v>
      </x:c>
      <x:c r="C8" s="79" t="n">
        <x:v>368.5</x:v>
      </x:c>
      <x:c r="D8" s="90" t="n">
        <x:f>SUMIF('4. Skladby'!$A$6:$A$73,A8,'4. Skladby'!$K$6:$K$73)</x:f>
        <x:v>3395.2000000000003</x:v>
      </x:c>
      <x:c r="E8" s="90" t="n">
        <x:f>INDEX('2. Vstupy'!$E$25:$E$35,MATCH(A8,'2. Vstupy'!$A$25:$A$35,0))</x:f>
        <x:v>169.76000000000002</x:v>
      </x:c>
      <x:c r="F8" s="90" t="n">
        <x:f>INDEX('2. Vstupy'!$F$25:$F$35,MATCH(A8,'2. Vstupy'!$A$25:$A$35,0))</x:f>
        <x:v>101.85600000000001</x:v>
      </x:c>
      <x:c r="G8" s="90" t="n">
        <x:f>INDEX('2. Vstupy'!$D$25:$D$35,MATCH(A8,'2. Vstupy'!$A$25:$A$35,0))</x:f>
        <x:v>509.28000000000003</x:v>
      </x:c>
      <x:c r="H8" s="90" t="n">
        <x:f>SUM(D8:G8)</x:f>
        <x:v>4176.0960000000005</x:v>
      </x:c>
      <x:c r="I8" s="91" t="n">
        <x:f>'2. Vstupy'!$B$17</x:f>
        <x:v>0.35</x:v>
      </x:c>
      <x:c r="J8" s="90" t="n">
        <x:f>H8/(1-I8)</x:f>
        <x:v>6424.763076923077</x:v>
      </x:c>
      <x:c r="K8" s="90" t="n">
        <x:f>IFERROR(INDEX('5. Benchmark'!$D$10:$D$20,MATCH(A8,'5. Benchmark'!$A$10:$A$20,0)),"")</x:f>
        <x:v>8799.54</x:v>
      </x:c>
      <x:c r="L8" s="91" t="n">
        <x:f>IFERROR(J8/K8-1,"")</x:f>
        <x:v>-0.26987512109461664</x:v>
      </x:c>
      <x:c r="M8" s="91" t="n">
        <x:f>'2. Vstupy'!$B$18</x:f>
        <x:v>0.2</x:v>
      </x:c>
      <x:c r="N8" s="91" t="n">
        <x:f>MAX(0,1-H8/(J8*(1-M8)))</x:f>
        <x:v>0.1875</x:v>
      </x:c>
      <x:c r="O8" s="92" t="str">
        <x:f>IF('2. Vstupy'!$B$13="PŘIPRAVENO","POTVRZENO","PROVIZORNÍ")</x:f>
        <x:v>PROVIZORNÍ</x:v>
      </x:c>
      <x:c r="P8" s="92" t="str">
        <x:f>'2. Vstupy'!$B$14</x:f>
        <x:v>BLOKOVÁNO</x:v>
      </x:c>
    </x:row>
    <x:row r="9">
      <x:c r="A9" s="47" t="str">
        <x:v>NS_VF_01</x:v>
      </x:c>
      <x:c r="B9" s="47" t="str">
        <x:v>Vnitřní nosná stěna 170 mm</x:v>
      </x:c>
      <x:c r="C9" s="79" t="n">
        <x:v>170</x:v>
      </x:c>
      <x:c r="D9" s="90" t="n">
        <x:f>SUMIF('4. Skladby'!$A$6:$A$73,A9,'4. Skladby'!$K$6:$K$73)</x:f>
        <x:v>1145.3</x:v>
      </x:c>
      <x:c r="E9" s="90" t="n">
        <x:f>INDEX('2. Vstupy'!$E$25:$E$35,MATCH(A9,'2. Vstupy'!$A$25:$A$35,0))</x:f>
        <x:v>57.265</x:v>
      </x:c>
      <x:c r="F9" s="90" t="n">
        <x:f>INDEX('2. Vstupy'!$F$25:$F$35,MATCH(A9,'2. Vstupy'!$A$25:$A$35,0))</x:f>
        <x:v>34.358999999999995</x:v>
      </x:c>
      <x:c r="G9" s="90" t="n">
        <x:f>INDEX('2. Vstupy'!$D$25:$D$35,MATCH(A9,'2. Vstupy'!$A$25:$A$35,0))</x:f>
        <x:v>171.795</x:v>
      </x:c>
      <x:c r="H9" s="90" t="n">
        <x:f>SUM(D9:G9)</x:f>
        <x:v>1408.719</x:v>
      </x:c>
      <x:c r="I9" s="91" t="n">
        <x:f>'2. Vstupy'!$B$17</x:f>
        <x:v>0.35</x:v>
      </x:c>
      <x:c r="J9" s="90" t="n">
        <x:f>H9/(1-I9)</x:f>
        <x:v>2167.26</x:v>
      </x:c>
      <x:c r="K9" s="90" t="n">
        <x:f>IFERROR(INDEX('5. Benchmark'!$D$10:$D$20,MATCH(A9,'5. Benchmark'!$A$10:$A$20,0)),"")</x:f>
        <x:v>3713.955</x:v>
      </x:c>
      <x:c r="L9" s="91" t="n">
        <x:f>IFERROR(J9/K9-1,"")</x:f>
        <x:v>-0.4164549651247793</x:v>
      </x:c>
      <x:c r="M9" s="91" t="n">
        <x:f>'2. Vstupy'!$B$18</x:f>
        <x:v>0.2</x:v>
      </x:c>
      <x:c r="N9" s="91" t="n">
        <x:f>MAX(0,1-H9/(J9*(1-M9)))</x:f>
        <x:v>0.1875000000000001</x:v>
      </x:c>
      <x:c r="O9" s="92" t="str">
        <x:f>IF('2. Vstupy'!$B$13="PŘIPRAVENO","POTVRZENO","PROVIZORNÍ")</x:f>
        <x:v>PROVIZORNÍ</x:v>
      </x:c>
      <x:c r="P9" s="92" t="str">
        <x:f>'2. Vstupy'!$B$14</x:f>
        <x:v>BLOKOVÁNO</x:v>
      </x:c>
    </x:row>
    <x:row r="10">
      <x:c r="A10" s="47" t="str">
        <x:v>DS_VF_01</x:v>
      </x:c>
      <x:c r="B10" s="47" t="str">
        <x:v>Akustická mezibytová dvojitá stěna 300 mm</x:v>
      </x:c>
      <x:c r="C10" s="79" t="n">
        <x:v>300</x:v>
      </x:c>
      <x:c r="D10" s="90" t="n">
        <x:f>SUMIF('4. Skladby'!$A$6:$A$73,A10,'4. Skladby'!$K$6:$K$73)</x:f>
        <x:v>1551.4</x:v>
      </x:c>
      <x:c r="E10" s="90" t="n">
        <x:f>INDEX('2. Vstupy'!$E$25:$E$35,MATCH(A10,'2. Vstupy'!$A$25:$A$35,0))</x:f>
        <x:v>77.57000000000001</x:v>
      </x:c>
      <x:c r="F10" s="90" t="n">
        <x:f>INDEX('2. Vstupy'!$F$25:$F$35,MATCH(A10,'2. Vstupy'!$A$25:$A$35,0))</x:f>
        <x:v>46.542</x:v>
      </x:c>
      <x:c r="G10" s="90" t="n">
        <x:f>INDEX('2. Vstupy'!$D$25:$D$35,MATCH(A10,'2. Vstupy'!$A$25:$A$35,0))</x:f>
        <x:v>232.71</x:v>
      </x:c>
      <x:c r="H10" s="90" t="n">
        <x:f>SUM(D10:G10)</x:f>
        <x:v>1908.222</x:v>
      </x:c>
      <x:c r="I10" s="91" t="n">
        <x:f>'2. Vstupy'!$B$17</x:f>
        <x:v>0.35</x:v>
      </x:c>
      <x:c r="J10" s="90" t="n">
        <x:f>H10/(1-I10)</x:f>
        <x:v>2935.726153846154</x:v>
      </x:c>
      <x:c r="K10" s="90" t="n">
        <x:f>IFERROR(INDEX('5. Benchmark'!$D$10:$D$20,MATCH(A10,'5. Benchmark'!$A$10:$A$20,0)),"")</x:f>
        <x:v>6118.04</x:v>
      </x:c>
      <x:c r="L10" s="91" t="n">
        <x:f>IFERROR(J10/K10-1,"")</x:f>
        <x:v>-0.520152507364098</x:v>
      </x:c>
      <x:c r="M10" s="91" t="n">
        <x:f>'2. Vstupy'!$B$18</x:f>
        <x:v>0.2</x:v>
      </x:c>
      <x:c r="N10" s="91" t="n">
        <x:f>MAX(0,1-H10/(J10*(1-M10)))</x:f>
        <x:v>0.1875000000000001</x:v>
      </x:c>
      <x:c r="O10" s="92" t="str">
        <x:f>IF('2. Vstupy'!$B$13="PŘIPRAVENO","POTVRZENO","PROVIZORNÍ")</x:f>
        <x:v>PROVIZORNÍ</x:v>
      </x:c>
      <x:c r="P10" s="92" t="str">
        <x:f>'2. Vstupy'!$B$14</x:f>
        <x:v>BLOKOVÁNO</x:v>
      </x:c>
    </x:row>
    <x:row r="11">
      <x:c r="A11" s="47" t="str">
        <x:v>PS_VF_01</x:v>
      </x:c>
      <x:c r="B11" s="47" t="str">
        <x:v>Vnitřní nenosná příčka 100 mm</x:v>
      </x:c>
      <x:c r="C11" s="79" t="n">
        <x:v>100</x:v>
      </x:c>
      <x:c r="D11" s="90" t="n">
        <x:f>SUMIF('4. Skladby'!$A$6:$A$73,A11,'4. Skladby'!$K$6:$K$73)</x:f>
        <x:v>854.7</x:v>
      </x:c>
      <x:c r="E11" s="90" t="n">
        <x:f>INDEX('2. Vstupy'!$E$25:$E$35,MATCH(A11,'2. Vstupy'!$A$25:$A$35,0))</x:f>
        <x:v>42.73500000000001</x:v>
      </x:c>
      <x:c r="F11" s="90" t="n">
        <x:f>INDEX('2. Vstupy'!$F$25:$F$35,MATCH(A11,'2. Vstupy'!$A$25:$A$35,0))</x:f>
        <x:v>25.641000000000002</x:v>
      </x:c>
      <x:c r="G11" s="90" t="n">
        <x:f>INDEX('2. Vstupy'!$D$25:$D$35,MATCH(A11,'2. Vstupy'!$A$25:$A$35,0))</x:f>
        <x:v>128.205</x:v>
      </x:c>
      <x:c r="H11" s="90" t="n">
        <x:f>SUM(D11:G11)</x:f>
        <x:v>1051.281</x:v>
      </x:c>
      <x:c r="I11" s="91" t="n">
        <x:f>'2. Vstupy'!$B$17</x:f>
        <x:v>0.35</x:v>
      </x:c>
      <x:c r="J11" s="90" t="n">
        <x:f>H11/(1-I11)</x:f>
        <x:v>1617.3553846153845</x:v>
      </x:c>
      <x:c r="K11" s="90" t="n">
        <x:f>IFERROR(INDEX('5. Benchmark'!$D$10:$D$20,MATCH(A11,'5. Benchmark'!$A$10:$A$20,0)),"")</x:f>
        <x:v>2964.67</x:v>
      </x:c>
      <x:c r="L11" s="91" t="n">
        <x:f>IFERROR(J11/K11-1,"")</x:f>
        <x:v>-0.4544568587345693</x:v>
      </x:c>
      <x:c r="M11" s="91" t="n">
        <x:f>'2. Vstupy'!$B$18</x:f>
        <x:v>0.2</x:v>
      </x:c>
      <x:c r="N11" s="91" t="n">
        <x:f>MAX(0,1-H11/(J11*(1-M11)))</x:f>
        <x:v>0.1875</x:v>
      </x:c>
      <x:c r="O11" s="92" t="str">
        <x:f>IF('2. Vstupy'!$B$13="PŘIPRAVENO","POTVRZENO","PROVIZORNÍ")</x:f>
        <x:v>PROVIZORNÍ</x:v>
      </x:c>
      <x:c r="P11" s="92" t="str">
        <x:f>'2. Vstupy'!$B$14</x:f>
        <x:v>BLOKOVÁNO</x:v>
      </x:c>
    </x:row>
    <x:row r="12">
      <x:c r="A12" s="47" t="str">
        <x:v>STROP_RD</x:v>
      </x:c>
      <x:c r="B12" s="47" t="str">
        <x:v>Stropní dílec pro rodinné domy 432 mm</x:v>
      </x:c>
      <x:c r="C12" s="79" t="n">
        <x:v>432</x:v>
      </x:c>
      <x:c r="D12" s="90" t="n">
        <x:f>SUMIF('4. Skladby'!$A$6:$A$73,A12,'4. Skladby'!$K$6:$K$73)</x:f>
        <x:v>1943</x:v>
      </x:c>
      <x:c r="E12" s="90" t="n">
        <x:f>INDEX('2. Vstupy'!$E$25:$E$35,MATCH(A12,'2. Vstupy'!$A$25:$A$35,0))</x:f>
        <x:v>97.15</x:v>
      </x:c>
      <x:c r="F12" s="90" t="n">
        <x:f>INDEX('2. Vstupy'!$F$25:$F$35,MATCH(A12,'2. Vstupy'!$A$25:$A$35,0))</x:f>
        <x:v>58.29</x:v>
      </x:c>
      <x:c r="G12" s="90" t="n">
        <x:f>INDEX('2. Vstupy'!$D$25:$D$35,MATCH(A12,'2. Vstupy'!$A$25:$A$35,0))</x:f>
        <x:v>291.45</x:v>
      </x:c>
      <x:c r="H12" s="90" t="n">
        <x:f>SUM(D12:G12)</x:f>
        <x:v>2389.89</x:v>
      </x:c>
      <x:c r="I12" s="91" t="n">
        <x:f>'2. Vstupy'!$B$17</x:f>
        <x:v>0.35</x:v>
      </x:c>
      <x:c r="J12" s="90" t="n">
        <x:f>H12/(1-I12)</x:f>
        <x:v>3676.7538461538456</x:v>
      </x:c>
      <x:c r="K12" s="90" t="n">
        <x:f>IFERROR(INDEX('5. Benchmark'!$D$10:$D$20,MATCH(A12,'5. Benchmark'!$A$10:$A$20,0)),"")</x:f>
        <x:v>6019.06</x:v>
      </x:c>
      <x:c r="L12" s="91" t="n">
        <x:f>IFERROR(J12/K12-1,"")</x:f>
        <x:v>-0.38914816497030347</x:v>
      </x:c>
      <x:c r="M12" s="91" t="n">
        <x:f>'2. Vstupy'!$B$18</x:f>
        <x:v>0.2</x:v>
      </x:c>
      <x:c r="N12" s="91" t="n">
        <x:f>MAX(0,1-H12/(J12*(1-M12)))</x:f>
        <x:v>0.1875</x:v>
      </x:c>
      <x:c r="O12" s="92" t="str">
        <x:f>IF('2. Vstupy'!$B$13="PŘIPRAVENO","POTVRZENO","PROVIZORNÍ")</x:f>
        <x:v>PROVIZORNÍ</x:v>
      </x:c>
      <x:c r="P12" s="92" t="str">
        <x:f>'2. Vstupy'!$B$14</x:f>
        <x:v>BLOKOVÁNO</x:v>
      </x:c>
    </x:row>
    <x:row r="13">
      <x:c r="A13" s="47" t="str">
        <x:v>STROP_BD</x:v>
      </x:c>
      <x:c r="B13" s="47" t="str">
        <x:v>Akustický strop s voštinovým zásypem 492 mm</x:v>
      </x:c>
      <x:c r="C13" s="79" t="n">
        <x:v>492</x:v>
      </x:c>
      <x:c r="D13" s="90" t="n">
        <x:f>SUMIF('4. Skladby'!$A$6:$A$73,A13,'4. Skladby'!$K$6:$K$73)</x:f>
        <x:v>3465.1</x:v>
      </x:c>
      <x:c r="E13" s="90" t="n">
        <x:f>INDEX('2. Vstupy'!$E$25:$E$35,MATCH(A13,'2. Vstupy'!$A$25:$A$35,0))</x:f>
        <x:v>173.255</x:v>
      </x:c>
      <x:c r="F13" s="90" t="n">
        <x:f>INDEX('2. Vstupy'!$F$25:$F$35,MATCH(A13,'2. Vstupy'!$A$25:$A$35,0))</x:f>
        <x:v>103.95299999999999</x:v>
      </x:c>
      <x:c r="G13" s="90" t="n">
        <x:f>INDEX('2. Vstupy'!$D$25:$D$35,MATCH(A13,'2. Vstupy'!$A$25:$A$35,0))</x:f>
        <x:v>519.765</x:v>
      </x:c>
      <x:c r="H13" s="90" t="n">
        <x:f>SUM(D13:G13)</x:f>
        <x:v>4262.073</x:v>
      </x:c>
      <x:c r="I13" s="91" t="n">
        <x:f>'2. Vstupy'!$B$17</x:f>
        <x:v>0.35</x:v>
      </x:c>
      <x:c r="J13" s="90" t="n">
        <x:f>H13/(1-I13)</x:f>
        <x:v>6557.035384615385</x:v>
      </x:c>
      <x:c r="K13" s="90" t="n">
        <x:f>IFERROR(INDEX('5. Benchmark'!$D$10:$D$20,MATCH(A13,'5. Benchmark'!$A$10:$A$20,0)),"")</x:f>
        <x:v>6019.06</x:v>
      </x:c>
      <x:c r="L13" s="91" t="n">
        <x:f>IFERROR(J13/K13-1,"")</x:f>
        <x:v>0.08937863796263601</x:v>
      </x:c>
      <x:c r="M13" s="91" t="n">
        <x:f>'2. Vstupy'!$B$18</x:f>
        <x:v>0.2</x:v>
      </x:c>
      <x:c r="N13" s="91" t="n">
        <x:f>MAX(0,1-H13/(J13*(1-M13)))</x:f>
        <x:v>0.1875</x:v>
      </x:c>
      <x:c r="O13" s="92" t="str">
        <x:f>IF('2. Vstupy'!$B$13="PŘIPRAVENO","POTVRZENO","PROVIZORNÍ")</x:f>
        <x:v>PROVIZORNÍ</x:v>
      </x:c>
      <x:c r="P13" s="92" t="str">
        <x:f>'2. Vstupy'!$B$14</x:f>
        <x:v>BLOKOVÁNO</x:v>
      </x:c>
    </x:row>
    <x:row r="14">
      <x:c r="A14" s="47" t="str">
        <x:v>STRECHA_SIKMA</x:v>
      </x:c>
      <x:c r="B14" s="47" t="str">
        <x:v>Šikmá střecha s krokevní soustavou 455 mm</x:v>
      </x:c>
      <x:c r="C14" s="79" t="n">
        <x:v>455</x:v>
      </x:c>
      <x:c r="D14" s="90" t="n">
        <x:f>SUMIF('4. Skladby'!$A$6:$A$73,A14,'4. Skladby'!$K$6:$K$73)</x:f>
        <x:v>2362.6000000000004</x:v>
      </x:c>
      <x:c r="E14" s="90" t="n">
        <x:f>INDEX('2. Vstupy'!$E$25:$E$35,MATCH(A14,'2. Vstupy'!$A$25:$A$35,0))</x:f>
        <x:v>118.13000000000002</x:v>
      </x:c>
      <x:c r="F14" s="90" t="n">
        <x:f>INDEX('2. Vstupy'!$F$25:$F$35,MATCH(A14,'2. Vstupy'!$A$25:$A$35,0))</x:f>
        <x:v>70.87800000000001</x:v>
      </x:c>
      <x:c r="G14" s="90" t="n">
        <x:f>INDEX('2. Vstupy'!$D$25:$D$35,MATCH(A14,'2. Vstupy'!$A$25:$A$35,0))</x:f>
        <x:v>354.39000000000004</x:v>
      </x:c>
      <x:c r="H14" s="90" t="n">
        <x:f>SUM(D14:G14)</x:f>
        <x:v>2905.9980000000005</x:v>
      </x:c>
      <x:c r="I14" s="91" t="n">
        <x:f>'2. Vstupy'!$B$17</x:f>
        <x:v>0.35</x:v>
      </x:c>
      <x:c r="J14" s="90" t="n">
        <x:f>H14/(1-I14)</x:f>
        <x:v>4470.766153846154</x:v>
      </x:c>
      <x:c r="K14" s="90" t="n">
        <x:f>IFERROR(INDEX('5. Benchmark'!$D$10:$D$20,MATCH(A14,'5. Benchmark'!$A$10:$A$20,0)),"")</x:f>
        <x:v>6196.76</x:v>
      </x:c>
      <x:c r="L14" s="91" t="n">
        <x:f>IFERROR(J14/K14-1,"")</x:f>
        <x:v>-0.27853165947266734</x:v>
      </x:c>
      <x:c r="M14" s="91" t="n">
        <x:f>'2. Vstupy'!$B$18</x:f>
        <x:v>0.2</x:v>
      </x:c>
      <x:c r="N14" s="91" t="n">
        <x:f>MAX(0,1-H14/(J14*(1-M14)))</x:f>
        <x:v>0.1875</x:v>
      </x:c>
      <x:c r="O14" s="92" t="str">
        <x:f>IF('2. Vstupy'!$B$13="PŘIPRAVENO","POTVRZENO","PROVIZORNÍ")</x:f>
        <x:v>PROVIZORNÍ</x:v>
      </x:c>
      <x:c r="P14" s="92" t="str">
        <x:f>'2. Vstupy'!$B$14</x:f>
        <x:v>BLOKOVÁNO</x:v>
      </x:c>
    </x:row>
    <x:row r="15">
      <x:c r="A15" s="47" t="str">
        <x:v>STRECHA_PLOCHA</x:v>
      </x:c>
      <x:c r="B15" s="47" t="str">
        <x:v>Plochá střecha se spádovou izolací 564.5 mm</x:v>
      </x:c>
      <x:c r="C15" s="79" t="n">
        <x:v>564.5</x:v>
      </x:c>
      <x:c r="D15" s="90" t="n">
        <x:f>SUMIF('4. Skladby'!$A$6:$A$73,A15,'4. Skladby'!$K$6:$K$73)</x:f>
        <x:v>2966.2</x:v>
      </x:c>
      <x:c r="E15" s="90" t="n">
        <x:f>INDEX('2. Vstupy'!$E$25:$E$35,MATCH(A15,'2. Vstupy'!$A$25:$A$35,0))</x:f>
        <x:v>148.31</x:v>
      </x:c>
      <x:c r="F15" s="90" t="n">
        <x:f>INDEX('2. Vstupy'!$F$25:$F$35,MATCH(A15,'2. Vstupy'!$A$25:$A$35,0))</x:f>
        <x:v>88.98599999999999</x:v>
      </x:c>
      <x:c r="G15" s="90" t="n">
        <x:f>INDEX('2. Vstupy'!$D$25:$D$35,MATCH(A15,'2. Vstupy'!$A$25:$A$35,0))</x:f>
        <x:v>444.92999999999995</x:v>
      </x:c>
      <x:c r="H15" s="90" t="n">
        <x:f>SUM(D15:G15)</x:f>
        <x:v>3648.4259999999995</x:v>
      </x:c>
      <x:c r="I15" s="91" t="n">
        <x:f>'2. Vstupy'!$B$17</x:f>
        <x:v>0.35</x:v>
      </x:c>
      <x:c r="J15" s="90" t="n">
        <x:f>H15/(1-I15)</x:f>
        <x:v>5612.963076923076</x:v>
      </x:c>
      <x:c r="K15" s="90" t="n">
        <x:f>IFERROR(INDEX('5. Benchmark'!$D$10:$D$20,MATCH(A15,'5. Benchmark'!$A$10:$A$20,0)),"")</x:f>
        <x:v>6196.76</x:v>
      </x:c>
      <x:c r="L15" s="91" t="n">
        <x:f>IFERROR(J15/K15-1,"")</x:f>
        <x:v>-0.09421002638103204</x:v>
      </x:c>
      <x:c r="M15" s="91" t="n">
        <x:f>'2. Vstupy'!$B$18</x:f>
        <x:v>0.2</x:v>
      </x:c>
      <x:c r="N15" s="91" t="n">
        <x:f>MAX(0,1-H15/(J15*(1-M15)))</x:f>
        <x:v>0.1875000000000001</x:v>
      </x:c>
      <x:c r="O15" s="92" t="str">
        <x:f>IF('2. Vstupy'!$B$13="PŘIPRAVENO","POTVRZENO","PROVIZORNÍ")</x:f>
        <x:v>PROVIZORNÍ</x:v>
      </x:c>
      <x:c r="P15" s="92" t="str">
        <x:f>'2. Vstupy'!$B$14</x:f>
        <x:v>BLOKOVÁNO</x:v>
      </x:c>
    </x:row>
    <x:row r="16">
      <x:c r="A16" s="47" t="str">
        <x:v>PODLAHA_1NP</x:v>
      </x:c>
      <x:c r="B16" s="47" t="str">
        <x:v>Podlahový dílec 1.NP nad základovou deskou 170 mm</x:v>
      </x:c>
      <x:c r="C16" s="79" t="n">
        <x:v>170</x:v>
      </x:c>
      <x:c r="D16" s="90" t="n">
        <x:f>SUMIF('4. Skladby'!$A$6:$A$73,A16,'4. Skladby'!$K$6:$K$73)</x:f>
        <x:v>1142.4</x:v>
      </x:c>
      <x:c r="E16" s="90" t="n">
        <x:f>INDEX('2. Vstupy'!$E$25:$E$35,MATCH(A16,'2. Vstupy'!$A$25:$A$35,0))</x:f>
        <x:v>57.120000000000005</x:v>
      </x:c>
      <x:c r="F16" s="90" t="n">
        <x:f>INDEX('2. Vstupy'!$F$25:$F$35,MATCH(A16,'2. Vstupy'!$A$25:$A$35,0))</x:f>
        <x:v>34.272</x:v>
      </x:c>
      <x:c r="G16" s="90" t="n">
        <x:f>INDEX('2. Vstupy'!$D$25:$D$35,MATCH(A16,'2. Vstupy'!$A$25:$A$35,0))</x:f>
        <x:v>171.36</x:v>
      </x:c>
      <x:c r="H16" s="90" t="n">
        <x:f>SUM(D16:G16)</x:f>
        <x:v>1405.152</x:v>
      </x:c>
      <x:c r="I16" s="91" t="n">
        <x:f>'2. Vstupy'!$B$17</x:f>
        <x:v>0.35</x:v>
      </x:c>
      <x:c r="J16" s="90" t="n">
        <x:f>H16/(1-I16)</x:f>
        <x:v>2161.7723076923075</x:v>
      </x:c>
      <x:c r="K16" s="90" t="str">
        <x:f>IFERROR(INDEX('5. Benchmark'!$D$10:$D$20,MATCH(A16,'5. Benchmark'!$A$10:$A$20,0)),"")</x:f>
      </x:c>
      <x:c r="L16" s="91" t="str">
        <x:f>IFERROR(J16/K16-1,"")</x:f>
      </x:c>
      <x:c r="M16" s="91" t="n">
        <x:f>'2. Vstupy'!$B$18</x:f>
        <x:v>0.2</x:v>
      </x:c>
      <x:c r="N16" s="91" t="n">
        <x:f>MAX(0,1-H16/(J16*(1-M16)))</x:f>
        <x:v>0.1874999999999999</x:v>
      </x:c>
      <x:c r="O16" s="92" t="str">
        <x:f>IF('2. Vstupy'!$B$13="PŘIPRAVENO","POTVRZENO","PROVIZORNÍ")</x:f>
        <x:v>PROVIZORNÍ</x:v>
      </x:c>
      <x:c r="P16" s="92" t="str">
        <x:f>'2. Vstupy'!$B$14</x:f>
        <x:v>BLOKOVÁNO</x:v>
      </x:c>
    </x:row>
    <x:row r="17">
      <x:c r="A17" s="153"/>
      <x:c r="B17" s="153"/>
      <x:c r="C17" s="153"/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</x:row>
    <x:row r="18">
      <x:c r="A18" s="153"/>
      <x:c r="B18" s="153"/>
      <x:c r="C18" s="153"/>
      <x:c r="D18" s="153"/>
      <x:c r="E18" s="153"/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  <x:c r="P18" s="153"/>
    </x:row>
    <x:row r="19">
      <x:c r="A19" s="52" t="str">
        <x:v>3.2 TYPOVÉ SLUŽBY — NÁKLAD JE ODDĚLEN OD PRODEJNÍHO PRAVIDLA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</x:row>
    <x:row r="20">
      <x:c r="A20" s="16" t="str">
        <x:v>Kód</x:v>
      </x:c>
      <x:c r="B20" s="16" t="str">
        <x:v>Služba</x:v>
      </x:c>
      <x:c r="C20" s="16" t="str">
        <x:v>Jednotka</x:v>
      </x:c>
      <x:c r="D20" s="16" t="str">
        <x:v>Standardní náklad</x:v>
      </x:c>
      <x:c r="E20" s="16" t="str">
        <x:v>Stav nákladu</x:v>
      </x:c>
      <x:c r="F20" s="16" t="str">
        <x:v>Prodejní metoda</x:v>
      </x:c>
      <x:c r="G20" s="16" t="str">
        <x:v>Prodejní parametr</x:v>
      </x:c>
      <x:c r="H20" s="16" t="str">
        <x:v>Cílová marže</x:v>
      </x:c>
      <x:c r="I20" s="16" t="str">
        <x:v>Poznámka</x:v>
      </x:c>
      <x:c r="J20" s="153"/>
      <x:c r="K20" s="153"/>
      <x:c r="L20" s="153"/>
      <x:c r="M20" s="153"/>
      <x:c r="N20" s="153"/>
      <x:c r="O20" s="153"/>
      <x:c r="P20" s="153"/>
    </x:row>
    <x:row r="21">
      <x:c r="A21" s="89" t="str">
        <x:f>'2. Vstupy'!A40</x:f>
        <x:v>MONTAGE</x:v>
      </x:c>
      <x:c r="B21" s="89" t="str">
        <x:f>'2. Vstupy'!B40</x:f>
        <x:v>Certifikovaná montáž hrubé stavby</x:v>
      </x:c>
      <x:c r="C21" s="89" t="str">
        <x:f>'2. Vstupy'!C40</x:f>
        <x:v>projekt</x:v>
      </x:c>
      <x:c r="D21" s="87" t="n">
        <x:f>'2. Vstupy'!D40</x:f>
        <x:v>0</x:v>
      </x:c>
      <x:c r="E21" s="89" t="str">
        <x:f>'2. Vstupy'!E40</x:f>
        <x:v>CHYBÍ</x:v>
      </x:c>
      <x:c r="F21" s="89" t="str">
        <x:f>'2. Vstupy'!F40</x:f>
        <x:v>PROCENTO_PANELŮ</x:v>
      </x:c>
      <x:c r="G21" s="88" t="n">
        <x:f>'2. Vstupy'!G40</x:f>
        <x:v>0.18</x:v>
      </x:c>
      <x:c r="H21" s="88" t="n">
        <x:f>'2. Vstupy'!H40</x:f>
        <x:v>0.35</x:v>
      </x:c>
      <x:c r="I21" s="89" t="str">
        <x:f>'2. Vstupy'!I40</x:f>
        <x:v>Původní sazebník: 18 % z panelů; skutečný náklad doplnit</x:v>
      </x:c>
      <x:c r="J21" s="153"/>
      <x:c r="K21" s="153"/>
      <x:c r="L21" s="153"/>
      <x:c r="M21" s="153"/>
      <x:c r="N21" s="153"/>
      <x:c r="O21" s="153"/>
      <x:c r="P21" s="153"/>
    </x:row>
    <x:row r="22">
      <x:c r="A22" s="92" t="str">
        <x:f>'2. Vstupy'!A41</x:f>
        <x:v>CRANE</x:v>
      </x:c>
      <x:c r="B22" s="92" t="str">
        <x:f>'2. Vstupy'!B41</x:f>
        <x:v>Těžký autojeřáb a manipulace</x:v>
      </x:c>
      <x:c r="C22" s="92" t="str">
        <x:f>'2. Vstupy'!C41</x:f>
        <x:v>projekt</x:v>
      </x:c>
      <x:c r="D22" s="90" t="n">
        <x:f>'2. Vstupy'!D41</x:f>
        <x:v>0</x:v>
      </x:c>
      <x:c r="E22" s="92" t="str">
        <x:f>'2. Vstupy'!E41</x:f>
        <x:v>CHYBÍ</x:v>
      </x:c>
      <x:c r="F22" s="92" t="str">
        <x:f>'2. Vstupy'!F41</x:f>
        <x:v>PROCENTO_PANELŮ</x:v>
      </x:c>
      <x:c r="G22" s="91" t="n">
        <x:f>'2. Vstupy'!G41</x:f>
        <x:v>0.04</x:v>
      </x:c>
      <x:c r="H22" s="91" t="n">
        <x:f>'2. Vstupy'!H41</x:f>
        <x:v>0.35</x:v>
      </x:c>
      <x:c r="I22" s="92" t="str">
        <x:f>'2. Vstupy'!I41</x:f>
        <x:v>Původní sazebník: 4 % z panelů; skutečný náklad doplnit</x:v>
      </x:c>
      <x:c r="J22" s="153"/>
      <x:c r="K22" s="153"/>
      <x:c r="L22" s="153"/>
      <x:c r="M22" s="153"/>
      <x:c r="N22" s="153"/>
      <x:c r="O22" s="153"/>
      <x:c r="P22" s="153"/>
    </x:row>
    <x:row r="23">
      <x:c r="A23" s="92" t="str">
        <x:f>'2. Vstupy'!A42</x:f>
        <x:v>SITE_PREP</x:v>
      </x:c>
      <x:c r="B23" s="92" t="str">
        <x:f>'2. Vstupy'!B42</x:f>
        <x:v>Zařízení staveniště a lešení</x:v>
      </x:c>
      <x:c r="C23" s="92" t="str">
        <x:f>'2. Vstupy'!C42</x:f>
        <x:v>projekt</x:v>
      </x:c>
      <x:c r="D23" s="90" t="n">
        <x:f>'2. Vstupy'!D42</x:f>
        <x:v>55000</x:v>
      </x:c>
      <x:c r="E23" s="92" t="str">
        <x:f>'2. Vstupy'!E42</x:f>
        <x:v>ODHAD</x:v>
      </x:c>
      <x:c r="F23" s="92" t="str">
        <x:f>'2. Vstupy'!F42</x:f>
        <x:v>FIX</x:v>
      </x:c>
      <x:c r="G23" s="93" t="n">
        <x:f>'2. Vstupy'!G42</x:f>
        <x:v>55000</x:v>
      </x:c>
      <x:c r="H23" s="91" t="n">
        <x:f>'2. Vstupy'!H42</x:f>
        <x:v>0</x:v>
      </x:c>
      <x:c r="I23" s="92" t="str">
        <x:f>'2. Vstupy'!I42</x:f>
        <x:v>Součet původních položek 55 000 Kč; dočasně bez marže</x:v>
      </x:c>
      <x:c r="J23" s="153"/>
      <x:c r="K23" s="153"/>
      <x:c r="L23" s="153"/>
      <x:c r="M23" s="153"/>
      <x:c r="N23" s="153"/>
      <x:c r="O23" s="153"/>
      <x:c r="P23" s="153"/>
    </x:row>
    <x:row r="24">
      <x:c r="A24" s="92" t="str">
        <x:f>'2. Vstupy'!A43</x:f>
        <x:v>TECH_RESERVE</x:v>
      </x:c>
      <x:c r="B24" s="92" t="str">
        <x:f>'2. Vstupy'!B43</x:f>
        <x:v>Technická rezerva na vícepráce</x:v>
      </x:c>
      <x:c r="C24" s="92" t="str">
        <x:f>'2. Vstupy'!C43</x:f>
        <x:v>% z mezisoučtu</x:v>
      </x:c>
      <x:c r="D24" s="90" t="n">
        <x:f>'2. Vstupy'!D43</x:f>
        <x:v>0</x:v>
      </x:c>
      <x:c r="E24" s="92" t="str">
        <x:f>'2. Vstupy'!E43</x:f>
        <x:v>PRAVIDLO</x:v>
      </x:c>
      <x:c r="F24" s="92" t="str">
        <x:f>'2. Vstupy'!F43</x:f>
        <x:v>PROCENTO_MEZISOUČTU</x:v>
      </x:c>
      <x:c r="G24" s="91" t="n">
        <x:f>'2. Vstupy'!G43</x:f>
        <x:v>0.03</x:v>
      </x:c>
      <x:c r="H24" s="91" t="n">
        <x:f>'2. Vstupy'!H43</x:f>
        <x:v>0</x:v>
      </x:c>
      <x:c r="I24" s="92" t="str">
        <x:f>'2. Vstupy'!I43</x:f>
        <x:v>Interní riziková rezerva, není považována za zisk</x:v>
      </x:c>
      <x:c r="J24" s="153"/>
      <x:c r="K24" s="153"/>
      <x:c r="L24" s="153"/>
      <x:c r="M24" s="153"/>
      <x:c r="N24" s="153"/>
      <x:c r="O24" s="153"/>
      <x:c r="P24" s="153"/>
    </x:row>
    <x:row r="25">
      <x:c r="A25" s="92" t="str">
        <x:f>'2. Vstupy'!A44</x:f>
        <x:v>TRANSPORT_Z1</x:v>
      </x:c>
      <x:c r="B25" s="92" t="str">
        <x:f>'2. Vstupy'!B44</x:f>
        <x:v>Doprava – Zóna 1</x:v>
      </x:c>
      <x:c r="C25" s="92" t="str">
        <x:f>'2. Vstupy'!C44</x:f>
        <x:v>kamion</x:v>
      </x:c>
      <x:c r="D25" s="90" t="n">
        <x:f>'2. Vstupy'!D44</x:f>
        <x:v>0</x:v>
      </x:c>
      <x:c r="E25" s="92" t="str">
        <x:f>'2. Vstupy'!E44</x:f>
        <x:v>CHYBÍ</x:v>
      </x:c>
      <x:c r="F25" s="92" t="str">
        <x:f>'2. Vstupy'!F44</x:f>
        <x:v>ZA_KAMION</x:v>
      </x:c>
      <x:c r="G25" s="93" t="n">
        <x:f>'2. Vstupy'!G44</x:f>
        <x:v>6500</x:v>
      </x:c>
      <x:c r="H25" s="91" t="n">
        <x:f>'2. Vstupy'!H44</x:f>
        <x:v>0.2</x:v>
      </x:c>
      <x:c r="I25" s="92" t="str">
        <x:f>'2. Vstupy'!I44</x:f>
        <x:v>Původní referenční prodejní cena</x:v>
      </x:c>
      <x:c r="J25" s="153"/>
      <x:c r="K25" s="153"/>
      <x:c r="L25" s="153"/>
      <x:c r="M25" s="153"/>
      <x:c r="N25" s="153"/>
      <x:c r="O25" s="153"/>
      <x:c r="P25" s="153"/>
    </x:row>
    <x:row r="26">
      <x:c r="A26" s="92" t="str">
        <x:f>'2. Vstupy'!A45</x:f>
        <x:v>TRANSPORT_Z2</x:v>
      </x:c>
      <x:c r="B26" s="92" t="str">
        <x:f>'2. Vstupy'!B45</x:f>
        <x:v>Doprava – Zóna 2</x:v>
      </x:c>
      <x:c r="C26" s="92" t="str">
        <x:f>'2. Vstupy'!C45</x:f>
        <x:v>kamion</x:v>
      </x:c>
      <x:c r="D26" s="90" t="n">
        <x:f>'2. Vstupy'!D45</x:f>
        <x:v>0</x:v>
      </x:c>
      <x:c r="E26" s="92" t="str">
        <x:f>'2. Vstupy'!E45</x:f>
        <x:v>CHYBÍ</x:v>
      </x:c>
      <x:c r="F26" s="92" t="str">
        <x:f>'2. Vstupy'!F45</x:f>
        <x:v>ZA_KAMION</x:v>
      </x:c>
      <x:c r="G26" s="93" t="n">
        <x:f>'2. Vstupy'!G45</x:f>
        <x:v>11500</x:v>
      </x:c>
      <x:c r="H26" s="91" t="n">
        <x:f>'2. Vstupy'!H45</x:f>
        <x:v>0.2</x:v>
      </x:c>
      <x:c r="I26" s="92" t="str">
        <x:f>'2. Vstupy'!I45</x:f>
        <x:v>Původní referenční prodejní cena</x:v>
      </x:c>
      <x:c r="J26" s="153"/>
      <x:c r="K26" s="153"/>
      <x:c r="L26" s="153"/>
      <x:c r="M26" s="153"/>
      <x:c r="N26" s="153"/>
      <x:c r="O26" s="153"/>
      <x:c r="P26" s="153"/>
    </x:row>
    <x:row r="27">
      <x:c r="A27" s="92" t="str">
        <x:f>'2. Vstupy'!A46</x:f>
        <x:v>TRANSPORT_Z3</x:v>
      </x:c>
      <x:c r="B27" s="92" t="str">
        <x:f>'2. Vstupy'!B46</x:f>
        <x:v>Doprava – Zóna 3</x:v>
      </x:c>
      <x:c r="C27" s="92" t="str">
        <x:f>'2. Vstupy'!C46</x:f>
        <x:v>kamion</x:v>
      </x:c>
      <x:c r="D27" s="90" t="n">
        <x:f>'2. Vstupy'!D46</x:f>
        <x:v>0</x:v>
      </x:c>
      <x:c r="E27" s="92" t="str">
        <x:f>'2. Vstupy'!E46</x:f>
        <x:v>CHYBÍ</x:v>
      </x:c>
      <x:c r="F27" s="92" t="str">
        <x:f>'2. Vstupy'!F46</x:f>
        <x:v>ZA_KAMION</x:v>
      </x:c>
      <x:c r="G27" s="93" t="n">
        <x:f>'2. Vstupy'!G46</x:f>
        <x:v>16500</x:v>
      </x:c>
      <x:c r="H27" s="91" t="n">
        <x:f>'2. Vstupy'!H46</x:f>
        <x:v>0.2</x:v>
      </x:c>
      <x:c r="I27" s="92" t="str">
        <x:f>'2. Vstupy'!I46</x:f>
        <x:v>Původní referenční prodejní cena</x:v>
      </x:c>
      <x:c r="J27" s="153"/>
      <x:c r="K27" s="153"/>
      <x:c r="L27" s="153"/>
      <x:c r="M27" s="153"/>
      <x:c r="N27" s="153"/>
      <x:c r="O27" s="153"/>
      <x:c r="P27" s="153"/>
    </x:row>
    <x:row r="28">
      <x:c r="A28" s="92" t="str">
        <x:f>'2. Vstupy'!A47</x:f>
        <x:v>TRANSPORT_Z4</x:v>
      </x:c>
      <x:c r="B28" s="92" t="str">
        <x:f>'2. Vstupy'!B47</x:f>
        <x:v>Doprava – Zóna 4</x:v>
      </x:c>
      <x:c r="C28" s="92" t="str">
        <x:f>'2. Vstupy'!C47</x:f>
        <x:v>kamion</x:v>
      </x:c>
      <x:c r="D28" s="90" t="n">
        <x:f>'2. Vstupy'!D47</x:f>
        <x:v>0</x:v>
      </x:c>
      <x:c r="E28" s="92" t="str">
        <x:f>'2. Vstupy'!E47</x:f>
        <x:v>CHYBÍ</x:v>
      </x:c>
      <x:c r="F28" s="92" t="str">
        <x:f>'2. Vstupy'!F47</x:f>
        <x:v>ZA_KAMION</x:v>
      </x:c>
      <x:c r="G28" s="93" t="n">
        <x:f>'2. Vstupy'!G47</x:f>
        <x:v>21500</x:v>
      </x:c>
      <x:c r="H28" s="91" t="n">
        <x:f>'2. Vstupy'!H47</x:f>
        <x:v>0.2</x:v>
      </x:c>
      <x:c r="I28" s="92" t="str">
        <x:f>'2. Vstupy'!I47</x:f>
        <x:v>Původní referenční prodejní cena</x:v>
      </x:c>
      <x:c r="J28" s="153"/>
      <x:c r="K28" s="153"/>
      <x:c r="L28" s="153"/>
      <x:c r="M28" s="153"/>
      <x:c r="N28" s="153"/>
      <x:c r="O28" s="153"/>
      <x:c r="P28" s="153"/>
    </x:row>
    <x:row r="29">
      <x:c r="A29" s="92" t="str">
        <x:f>'2. Vstupy'!A48</x:f>
        <x:v>TRANSPORT_Z5</x:v>
      </x:c>
      <x:c r="B29" s="92" t="str">
        <x:f>'2. Vstupy'!B48</x:f>
        <x:v>Doprava – Zóna 5</x:v>
      </x:c>
      <x:c r="C29" s="92" t="str">
        <x:f>'2. Vstupy'!C48</x:f>
        <x:v>kamion</x:v>
      </x:c>
      <x:c r="D29" s="90" t="n">
        <x:f>'2. Vstupy'!D48</x:f>
        <x:v>0</x:v>
      </x:c>
      <x:c r="E29" s="92" t="str">
        <x:f>'2. Vstupy'!E48</x:f>
        <x:v>CHYBÍ</x:v>
      </x:c>
      <x:c r="F29" s="92" t="str">
        <x:f>'2. Vstupy'!F48</x:f>
        <x:v>ZA_KAMION</x:v>
      </x:c>
      <x:c r="G29" s="93" t="n">
        <x:f>'2. Vstupy'!G48</x:f>
        <x:v>26500</x:v>
      </x:c>
      <x:c r="H29" s="91" t="n">
        <x:f>'2. Vstupy'!H48</x:f>
        <x:v>0.2</x:v>
      </x:c>
      <x:c r="I29" s="92" t="str">
        <x:f>'2. Vstupy'!I48</x:f>
        <x:v>Původní referenční prodejní cena</x:v>
      </x:c>
      <x:c r="J29" s="153"/>
      <x:c r="K29" s="153"/>
      <x:c r="L29" s="153"/>
      <x:c r="M29" s="153"/>
      <x:c r="N29" s="153"/>
      <x:c r="O29" s="153"/>
      <x:c r="P29" s="153"/>
    </x:row>
  </x:sheetData>
  <x:mergeCells>
    <x:mergeCell ref="A1:P1"/>
    <x:mergeCell ref="A2:P2"/>
    <x:mergeCell ref="A4:P4"/>
    <x:mergeCell ref="A19:P19"/>
  </x:mergeCells>
  <x:conditionalFormatting sqref="O6:P16">
    <x:cfRule type="containsText" dxfId="30" priority="1" operator="containsText" text="PŘIPRAVENO"/>
    <x:cfRule type="containsText" dxfId="31" priority="2" operator="containsText" text="AKTIVNÍ"/>
    <x:cfRule type="containsText" dxfId="32" priority="3" operator="containsText" text="BLOKOVÁNO"/>
    <x:cfRule type="containsText" dxfId="33" priority="4" operator="containsText" text="CHYBÍ"/>
    <x:cfRule type="containsText" dxfId="34" priority="5" operator="containsText" text="DOPLNIT"/>
    <x:cfRule type="containsText" dxfId="35" priority="6" operator="containsText" text="PROVIZORNÍ"/>
  </x:conditionalFormatting>
  <x:conditionalFormatting sqref="E21:E29">
    <x:cfRule type="containsText" dxfId="36" priority="7" operator="containsText" text="PŘIPRAVENO"/>
    <x:cfRule type="containsText" dxfId="37" priority="8" operator="containsText" text="AKTIVNÍ"/>
    <x:cfRule type="containsText" dxfId="38" priority="9" operator="containsText" text="BLOKOVÁNO"/>
    <x:cfRule type="containsText" dxfId="39" priority="10" operator="containsText" text="CHYBÍ"/>
    <x:cfRule type="containsText" dxfId="40" priority="11" operator="containsText" text="DOPLNIT"/>
    <x:cfRule type="containsText" dxfId="41" priority="12" operator="containsText" text="PROVIZORNÍ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17" hidden="0" customWidth="1"/>
    <x:col min="5" max="5" width="38" hidden="0" customWidth="1"/>
    <x:col min="6" max="6" width="41" hidden="0" customWidth="1"/>
    <x:col min="7" max="7" width="14" hidden="0" customWidth="1"/>
    <x:col min="8" max="8" width="14" hidden="0" customWidth="1"/>
    <x:col min="9" max="9" width="24" hidden="0" customWidth="1"/>
    <x:col min="10" max="10" width="20" hidden="0" customWidth="1"/>
    <x:col min="11" max="11" width="20" hidden="0" customWidth="1"/>
    <x:col min="12" max="12" width="17" hidden="0" customWidth="1"/>
    <x:col min="13" max="13" width="17" hidden="0" customWidth="1"/>
  </x:cols>
  <x:sheetData>
    <x:row r="1" ht="36" customHeight="1">
      <x:c r="A1" s="40" t="str">
        <x:v>VESPER FRAMES — SKLADBY PANELŮ NAVÁZANÉ NA ČÍSELNÍK MATERIÁLŮ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25" customHeight="1">
      <x:c r="A2" s="6" t="str">
        <x:v>Ve skladbě se zadává pouze kód materiálu a normová spotřeba včetně ztratného. Všechny cenové údaje se načítají z listu 8. Materiály.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</x:row>
    <x:row r="4">
      <x:c r="A4" s="52" t="str">
        <x:v>4.1 DLOUHÝ FORMÁT BOM — 68 POUŽITÍ, 51 UNIKÁTNÍCH MATERIÁLŮ, ŽÁDNÁ DUPLICITNÍ CENA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</x:row>
    <x:row r="5" ht="30" customHeight="1">
      <x:c r="A5" s="188" t="str">
        <x:v>Kód panelu</x:v>
      </x:c>
      <x:c r="B5" s="188" t="str">
        <x:v>Revize</x:v>
      </x:c>
      <x:c r="C5" s="188" t="str">
        <x:v>Č. vrstvy</x:v>
      </x:c>
      <x:c r="D5" s="188" t="str">
        <x:v>Kód materiálu</x:v>
      </x:c>
      <x:c r="E5" s="188" t="str">
        <x:v>Funkce vrstvy</x:v>
      </x:c>
      <x:c r="F5" s="188" t="str">
        <x:v>Specifikace</x:v>
      </x:c>
      <x:c r="G5" s="188" t="str">
        <x:v>Tloušťka mm</x:v>
      </x:c>
      <x:c r="H5" s="188" t="str">
        <x:v>MJ</x:v>
      </x:c>
      <x:c r="I5" s="188" t="str">
        <x:v>Normová spotřeba/m² vč. ztratného</x:v>
      </x:c>
      <x:c r="J5" s="188" t="str">
        <x:v>Nákladová cena/MJ</x:v>
      </x:c>
      <x:c r="K5" s="188" t="str">
        <x:v>Cena vrstvy Kč/m²</x:v>
      </x:c>
      <x:c r="L5" s="188" t="str">
        <x:v>Stav ceny</x:v>
      </x:c>
      <x:c r="M5" s="188" t="str">
        <x:v>Platnost ceny od</x:v>
      </x:c>
    </x:row>
    <x:row r="6">
      <x:c r="A6" s="46" t="str">
        <x:v>OS_VF_01</x:v>
      </x:c>
      <x:c r="B6" s="46" t="str">
        <x:v>R0</x:v>
      </x:c>
      <x:c r="C6" s="46" t="str">
        <x:v>Vrstva 1</x:v>
      </x:c>
      <x:c r="D6" s="212" t="str">
        <x:v>MAT-001</x:v>
      </x:c>
      <x:c r="E6" s="46" t="str">
        <x:v>Vnitřní sádrovláknitý záklop</x:v>
      </x:c>
      <x:c r="F6" s="89" t="str">
        <x:f>IFERROR(INDEX('8. Materiály'!$B$6:$B$56,MATCH(D6,'8. Materiály'!$A$6:$A$56,0)),"")</x:f>
        <x:v>Fermacell 15 mm</x:v>
      </x:c>
      <x:c r="G6" s="228" t="n">
        <x:f>IFERROR(INDEX('8. Materiály'!$C$6:$C$56,MATCH(D6,'8. Materiály'!$A$6:$A$56,0)),"")</x:f>
        <x:v>15</x:v>
      </x:c>
      <x:c r="H6" s="89" t="str">
        <x:f>IFERROR(INDEX('8. Materiály'!$D$6:$D$56,MATCH(D6,'8. Materiály'!$A$6:$A$56,0)),"")</x:f>
        <x:v>m²</x:v>
      </x:c>
      <x:c r="I6" s="229" t="n">
        <x:v>1.05</x:v>
      </x:c>
      <x:c r="J6" s="87" t="n">
        <x:f>IFERROR(INDEX('8. Materiály'!$G$6:$G$56,MATCH(D6,'8. Materiály'!$A$6:$A$56,0)),0)</x:f>
        <x:v>280</x:v>
      </x:c>
      <x:c r="K6" s="55" t="n">
        <x:f>I6*J6</x:f>
        <x:v>294</x:v>
      </x:c>
      <x:c r="L6" s="89" t="str">
        <x:f>IFERROR(INDEX('8. Materiály'!$K$6:$K$56,MATCH(D6,'8. Materiály'!$A$6:$A$56,0)),"CHYBÍ")</x:f>
        <x:v>ODHAD</x:v>
      </x:c>
      <x:c r="M6" s="230" t="str">
        <x:f>IFERROR(INDEX('8. Materiály'!$I$6:$I$56,MATCH(D6,'8. Materiály'!$A$6:$A$56,0)),"")</x:f>
      </x:c>
    </x:row>
    <x:row r="7">
      <x:c r="A7" s="47" t="str">
        <x:v>OS_VF_01</x:v>
      </x:c>
      <x:c r="B7" s="47" t="str">
        <x:v>R0</x:v>
      </x:c>
      <x:c r="C7" s="47" t="str">
        <x:v>Vrstva 2</x:v>
      </x:c>
      <x:c r="D7" s="219" t="str">
        <x:v>MAT-002</x:v>
      </x:c>
      <x:c r="E7" s="47" t="str">
        <x:v>Parotěsná zábrana se síťovinou</x:v>
      </x:c>
      <x:c r="F7" s="92" t="str">
        <x:f>IFERROR(INDEX('8. Materiály'!$B$6:$B$56,MATCH(D7,'8. Materiály'!$A$6:$A$56,0)),"")</x:f>
        <x:v>Vesper VaporStop 0.2 mm</x:v>
      </x:c>
      <x:c r="G7" s="231" t="n">
        <x:f>IFERROR(INDEX('8. Materiály'!$C$6:$C$56,MATCH(D7,'8. Materiály'!$A$6:$A$56,0)),"")</x:f>
        <x:v>0.2</x:v>
      </x:c>
      <x:c r="H7" s="92" t="str">
        <x:f>IFERROR(INDEX('8. Materiály'!$D$6:$D$56,MATCH(D7,'8. Materiály'!$A$6:$A$56,0)),"")</x:f>
        <x:v>m²</x:v>
      </x:c>
      <x:c r="I7" s="232" t="n">
        <x:v>1.1</x:v>
      </x:c>
      <x:c r="J7" s="90" t="n">
        <x:f>IFERROR(INDEX('8. Materiály'!$G$6:$G$56,MATCH(D7,'8. Materiály'!$A$6:$A$56,0)),0)</x:f>
        <x:v>45</x:v>
      </x:c>
      <x:c r="K7" s="59" t="n">
        <x:f>I7*J7</x:f>
        <x:v>49.50000000000001</x:v>
      </x:c>
      <x:c r="L7" s="92" t="str">
        <x:f>IFERROR(INDEX('8. Materiály'!$K$6:$K$56,MATCH(D7,'8. Materiály'!$A$6:$A$56,0)),"CHYBÍ")</x:f>
        <x:v>ODHAD</x:v>
      </x:c>
      <x:c r="M7" s="233" t="str">
        <x:f>IFERROR(INDEX('8. Materiály'!$I$6:$I$56,MATCH(D7,'8. Materiály'!$A$6:$A$56,0)),"")</x:f>
      </x:c>
    </x:row>
    <x:row r="8">
      <x:c r="A8" s="47" t="str">
        <x:v>OS_VF_01</x:v>
      </x:c>
      <x:c r="B8" s="47" t="str">
        <x:v>R0</x:v>
      </x:c>
      <x:c r="C8" s="47" t="str">
        <x:v>Vrstva 3</x:v>
      </x:c>
      <x:c r="D8" s="219" t="str">
        <x:v>MAT-003</x:v>
      </x:c>
      <x:c r="E8" s="47" t="str">
        <x:v>Nosný dřevěný skelet</x:v>
      </x:c>
      <x:c r="F8" s="92" t="str">
        <x:f>IFERROR(INDEX('8. Materiály'!$B$6:$B$56,MATCH(D8,'8. Materiály'!$A$6:$A$56,0)),"")</x:f>
        <x:v>KVH hranol 160 mm</x:v>
      </x:c>
      <x:c r="G8" s="231" t="n">
        <x:f>IFERROR(INDEX('8. Materiály'!$C$6:$C$56,MATCH(D8,'8. Materiály'!$A$6:$A$56,0)),"")</x:f>
        <x:v>160</x:v>
      </x:c>
      <x:c r="H8" s="92" t="str">
        <x:f>IFERROR(INDEX('8. Materiály'!$D$6:$D$56,MATCH(D8,'8. Materiály'!$A$6:$A$56,0)),"")</x:f>
        <x:v>m³</x:v>
      </x:c>
      <x:c r="I8" s="232" t="n">
        <x:v>0.032</x:v>
      </x:c>
      <x:c r="J8" s="90" t="n">
        <x:f>IFERROR(INDEX('8. Materiály'!$G$6:$G$56,MATCH(D8,'8. Materiály'!$A$6:$A$56,0)),0)</x:f>
        <x:v>12500</x:v>
      </x:c>
      <x:c r="K8" s="59" t="n">
        <x:f>I8*J8</x:f>
        <x:v>400</x:v>
      </x:c>
      <x:c r="L8" s="92" t="str">
        <x:f>IFERROR(INDEX('8. Materiály'!$K$6:$K$56,MATCH(D8,'8. Materiály'!$A$6:$A$56,0)),"CHYBÍ")</x:f>
        <x:v>ODHAD</x:v>
      </x:c>
      <x:c r="M8" s="233" t="str">
        <x:f>IFERROR(INDEX('8. Materiály'!$I$6:$I$56,MATCH(D8,'8. Materiály'!$A$6:$A$56,0)),"")</x:f>
      </x:c>
    </x:row>
    <x:row r="9">
      <x:c r="A9" s="47" t="str">
        <x:v>OS_VF_01</x:v>
      </x:c>
      <x:c r="B9" s="47" t="str">
        <x:v>R0</x:v>
      </x:c>
      <x:c r="C9" s="47" t="str">
        <x:v>Vrstva 4</x:v>
      </x:c>
      <x:c r="D9" s="219" t="str">
        <x:v>MAT-004</x:v>
      </x:c>
      <x:c r="E9" s="47" t="str">
        <x:v>Mezilehlá tepelná &amp; akustická vata</x:v>
      </x:c>
      <x:c r="F9" s="92" t="str">
        <x:f>IFERROR(INDEX('8. Materiály'!$B$6:$B$56,MATCH(D9,'8. Materiály'!$A$6:$A$56,0)),"")</x:f>
        <x:v>Isover Uni 160 mm</x:v>
      </x:c>
      <x:c r="G9" s="231" t="n">
        <x:f>IFERROR(INDEX('8. Materiály'!$C$6:$C$56,MATCH(D9,'8. Materiály'!$A$6:$A$56,0)),"")</x:f>
        <x:v>160</x:v>
      </x:c>
      <x:c r="H9" s="92" t="str">
        <x:f>IFERROR(INDEX('8. Materiály'!$D$6:$D$56,MATCH(D9,'8. Materiály'!$A$6:$A$56,0)),"")</x:f>
        <x:v>m²</x:v>
      </x:c>
      <x:c r="I9" s="232" t="n">
        <x:v>1.02</x:v>
      </x:c>
      <x:c r="J9" s="90" t="n">
        <x:f>IFERROR(INDEX('8. Materiály'!$G$6:$G$56,MATCH(D9,'8. Materiály'!$A$6:$A$56,0)),0)</x:f>
        <x:v>360</x:v>
      </x:c>
      <x:c r="K9" s="59" t="n">
        <x:f>I9*J9</x:f>
        <x:v>367.2</x:v>
      </x:c>
      <x:c r="L9" s="92" t="str">
        <x:f>IFERROR(INDEX('8. Materiály'!$K$6:$K$56,MATCH(D9,'8. Materiály'!$A$6:$A$56,0)),"CHYBÍ")</x:f>
        <x:v>ODHAD</x:v>
      </x:c>
      <x:c r="M9" s="233" t="str">
        <x:f>IFERROR(INDEX('8. Materiály'!$I$6:$I$56,MATCH(D9,'8. Materiály'!$A$6:$A$56,0)),"")</x:f>
      </x:c>
    </x:row>
    <x:row r="10">
      <x:c r="A10" s="47" t="str">
        <x:v>OS_VF_01</x:v>
      </x:c>
      <x:c r="B10" s="47" t="str">
        <x:v>R0</x:v>
      </x:c>
      <x:c r="C10" s="47" t="str">
        <x:v>Vrstva 5</x:v>
      </x:c>
      <x:c r="D10" s="219" t="str">
        <x:v>MAT-005</x:v>
      </x:c>
      <x:c r="E10" s="47" t="str">
        <x:v>Vnější sádrovláknitá deska</x:v>
      </x:c>
      <x:c r="F10" s="92" t="str">
        <x:f>IFERROR(INDEX('8. Materiály'!$B$6:$B$56,MATCH(D10,'8. Materiály'!$A$6:$A$56,0)),"")</x:f>
        <x:v>Fermacell H2O 15 mm</x:v>
      </x:c>
      <x:c r="G10" s="231" t="n">
        <x:f>IFERROR(INDEX('8. Materiály'!$C$6:$C$56,MATCH(D10,'8. Materiály'!$A$6:$A$56,0)),"")</x:f>
        <x:v>15</x:v>
      </x:c>
      <x:c r="H10" s="92" t="str">
        <x:f>IFERROR(INDEX('8. Materiály'!$D$6:$D$56,MATCH(D10,'8. Materiály'!$A$6:$A$56,0)),"")</x:f>
        <x:v>m²</x:v>
      </x:c>
      <x:c r="I10" s="232" t="n">
        <x:v>1.05</x:v>
      </x:c>
      <x:c r="J10" s="90" t="n">
        <x:f>IFERROR(INDEX('8. Materiály'!$G$6:$G$56,MATCH(D10,'8. Materiály'!$A$6:$A$56,0)),0)</x:f>
        <x:v>320</x:v>
      </x:c>
      <x:c r="K10" s="59" t="n">
        <x:f>I10*J10</x:f>
        <x:v>336</x:v>
      </x:c>
      <x:c r="L10" s="92" t="str">
        <x:f>IFERROR(INDEX('8. Materiály'!$K$6:$K$56,MATCH(D10,'8. Materiály'!$A$6:$A$56,0)),"CHYBÍ")</x:f>
        <x:v>ODHAD</x:v>
      </x:c>
      <x:c r="M10" s="233" t="str">
        <x:f>IFERROR(INDEX('8. Materiály'!$I$6:$I$56,MATCH(D10,'8. Materiály'!$A$6:$A$56,0)),"")</x:f>
      </x:c>
    </x:row>
    <x:row r="11">
      <x:c r="A11" s="47" t="str">
        <x:v>OS_VF_01</x:v>
      </x:c>
      <x:c r="B11" s="47" t="str">
        <x:v>R0</x:v>
      </x:c>
      <x:c r="C11" s="47" t="str">
        <x:v>Vrstva 6</x:v>
      </x:c>
      <x:c r="D11" s="219" t="str">
        <x:v>MAT-006</x:v>
      </x:c>
      <x:c r="E11" s="47" t="str">
        <x:v>Fasádní izolace EPS/TF</x:v>
      </x:c>
      <x:c r="F11" s="92" t="str">
        <x:f>IFERROR(INDEX('8. Materiály'!$B$6:$B$56,MATCH(D11,'8. Materiály'!$A$6:$A$56,0)),"")</x:f>
        <x:v>Fasádní deska TF 160 mm</x:v>
      </x:c>
      <x:c r="G11" s="231" t="n">
        <x:f>IFERROR(INDEX('8. Materiály'!$C$6:$C$56,MATCH(D11,'8. Materiály'!$A$6:$A$56,0)),"")</x:f>
        <x:v>160</x:v>
      </x:c>
      <x:c r="H11" s="92" t="str">
        <x:f>IFERROR(INDEX('8. Materiály'!$D$6:$D$56,MATCH(D11,'8. Materiály'!$A$6:$A$56,0)),"")</x:f>
        <x:v>m²</x:v>
      </x:c>
      <x:c r="I11" s="232" t="n">
        <x:v>1.02</x:v>
      </x:c>
      <x:c r="J11" s="90" t="n">
        <x:f>IFERROR(INDEX('8. Materiály'!$G$6:$G$56,MATCH(D11,'8. Materiály'!$A$6:$A$56,0)),0)</x:f>
        <x:v>480</x:v>
      </x:c>
      <x:c r="K11" s="59" t="n">
        <x:f>I11*J11</x:f>
        <x:v>489.6</x:v>
      </x:c>
      <x:c r="L11" s="92" t="str">
        <x:f>IFERROR(INDEX('8. Materiály'!$K$6:$K$56,MATCH(D11,'8. Materiály'!$A$6:$A$56,0)),"CHYBÍ")</x:f>
        <x:v>ODHAD</x:v>
      </x:c>
      <x:c r="M11" s="233" t="str">
        <x:f>IFERROR(INDEX('8. Materiály'!$I$6:$I$56,MATCH(D11,'8. Materiály'!$A$6:$A$56,0)),"")</x:f>
      </x:c>
    </x:row>
    <x:row r="12">
      <x:c r="A12" s="47" t="str">
        <x:v>OS_VF_01</x:v>
      </x:c>
      <x:c r="B12" s="47" t="str">
        <x:v>R0</x:v>
      </x:c>
      <x:c r="C12" s="47" t="str">
        <x:v>Vrstva 7</x:v>
      </x:c>
      <x:c r="D12" s="219" t="str">
        <x:v>MAT-007</x:v>
      </x:c>
      <x:c r="E12" s="47" t="str">
        <x:v>Fasádní stěrkový tmel &amp; omítka</x:v>
      </x:c>
      <x:c r="F12" s="92" t="str">
        <x:f>IFERROR(INDEX('8. Materiály'!$B$6:$B$56,MATCH(D12,'8. Materiály'!$A$6:$A$56,0)),"")</x:f>
        <x:v>Ceresit CT System</x:v>
      </x:c>
      <x:c r="G12" s="231" t="n">
        <x:f>IFERROR(INDEX('8. Materiály'!$C$6:$C$56,MATCH(D12,'8. Materiály'!$A$6:$A$56,0)),"")</x:f>
        <x:v>8.3</x:v>
      </x:c>
      <x:c r="H12" s="92" t="str">
        <x:f>IFERROR(INDEX('8. Materiály'!$D$6:$D$56,MATCH(D12,'8. Materiály'!$A$6:$A$56,0)),"")</x:f>
        <x:v>m²</x:v>
      </x:c>
      <x:c r="I12" s="232" t="n">
        <x:v>1.05</x:v>
      </x:c>
      <x:c r="J12" s="90" t="n">
        <x:f>IFERROR(INDEX('8. Materiály'!$G$6:$G$56,MATCH(D12,'8. Materiály'!$A$6:$A$56,0)),0)</x:f>
        <x:v>390</x:v>
      </x:c>
      <x:c r="K12" s="59" t="n">
        <x:f>I12*J12</x:f>
        <x:v>409.5</x:v>
      </x:c>
      <x:c r="L12" s="92" t="str">
        <x:f>IFERROR(INDEX('8. Materiály'!$K$6:$K$56,MATCH(D12,'8. Materiály'!$A$6:$A$56,0)),"CHYBÍ")</x:f>
        <x:v>ODHAD</x:v>
      </x:c>
      <x:c r="M12" s="233" t="str">
        <x:f>IFERROR(INDEX('8. Materiály'!$I$6:$I$56,MATCH(D12,'8. Materiály'!$A$6:$A$56,0)),"")</x:f>
      </x:c>
    </x:row>
    <x:row r="13">
      <x:c r="A13" s="47" t="str">
        <x:v>OS_VF_02</x:v>
      </x:c>
      <x:c r="B13" s="47" t="str">
        <x:v>R0</x:v>
      </x:c>
      <x:c r="C13" s="47" t="str">
        <x:v>Vrstva 1</x:v>
      </x:c>
      <x:c r="D13" s="219" t="str">
        <x:v>MAT-001</x:v>
      </x:c>
      <x:c r="E13" s="47" t="str">
        <x:v>Vnitřní sádrovláknitý záklop</x:v>
      </x:c>
      <x:c r="F13" s="92" t="str">
        <x:f>IFERROR(INDEX('8. Materiály'!$B$6:$B$56,MATCH(D13,'8. Materiály'!$A$6:$A$56,0)),"")</x:f>
        <x:v>Fermacell 15 mm</x:v>
      </x:c>
      <x:c r="G13" s="231" t="n">
        <x:f>IFERROR(INDEX('8. Materiály'!$C$6:$C$56,MATCH(D13,'8. Materiály'!$A$6:$A$56,0)),"")</x:f>
        <x:v>15</x:v>
      </x:c>
      <x:c r="H13" s="92" t="str">
        <x:f>IFERROR(INDEX('8. Materiály'!$D$6:$D$56,MATCH(D13,'8. Materiály'!$A$6:$A$56,0)),"")</x:f>
        <x:v>m²</x:v>
      </x:c>
      <x:c r="I13" s="232" t="n">
        <x:v>1.05</x:v>
      </x:c>
      <x:c r="J13" s="90" t="n">
        <x:f>IFERROR(INDEX('8. Materiály'!$G$6:$G$56,MATCH(D13,'8. Materiály'!$A$6:$A$56,0)),0)</x:f>
        <x:v>280</x:v>
      </x:c>
      <x:c r="K13" s="59" t="n">
        <x:f>I13*J13</x:f>
        <x:v>294</x:v>
      </x:c>
      <x:c r="L13" s="92" t="str">
        <x:f>IFERROR(INDEX('8. Materiály'!$K$6:$K$56,MATCH(D13,'8. Materiály'!$A$6:$A$56,0)),"CHYBÍ")</x:f>
        <x:v>ODHAD</x:v>
      </x:c>
      <x:c r="M13" s="233" t="str">
        <x:f>IFERROR(INDEX('8. Materiály'!$I$6:$I$56,MATCH(D13,'8. Materiály'!$A$6:$A$56,0)),"")</x:f>
      </x:c>
    </x:row>
    <x:row r="14">
      <x:c r="A14" s="47" t="str">
        <x:v>OS_VF_02</x:v>
      </x:c>
      <x:c r="B14" s="47" t="str">
        <x:v>R0</x:v>
      </x:c>
      <x:c r="C14" s="47" t="str">
        <x:v>Vrstva 2</x:v>
      </x:c>
      <x:c r="D14" s="219" t="str">
        <x:v>MAT-002</x:v>
      </x:c>
      <x:c r="E14" s="47" t="str">
        <x:v>Parotěsná zábrana</x:v>
      </x:c>
      <x:c r="F14" s="92" t="str">
        <x:f>IFERROR(INDEX('8. Materiály'!$B$6:$B$56,MATCH(D14,'8. Materiály'!$A$6:$A$56,0)),"")</x:f>
        <x:v>Vesper VaporStop 0.2 mm</x:v>
      </x:c>
      <x:c r="G14" s="231" t="n">
        <x:f>IFERROR(INDEX('8. Materiály'!$C$6:$C$56,MATCH(D14,'8. Materiály'!$A$6:$A$56,0)),"")</x:f>
        <x:v>0.2</x:v>
      </x:c>
      <x:c r="H14" s="92" t="str">
        <x:f>IFERROR(INDEX('8. Materiály'!$D$6:$D$56,MATCH(D14,'8. Materiály'!$A$6:$A$56,0)),"")</x:f>
        <x:v>m²</x:v>
      </x:c>
      <x:c r="I14" s="232" t="n">
        <x:v>1.1</x:v>
      </x:c>
      <x:c r="J14" s="90" t="n">
        <x:f>IFERROR(INDEX('8. Materiály'!$G$6:$G$56,MATCH(D14,'8. Materiály'!$A$6:$A$56,0)),0)</x:f>
        <x:v>45</x:v>
      </x:c>
      <x:c r="K14" s="59" t="n">
        <x:f>I14*J14</x:f>
        <x:v>49.50000000000001</x:v>
      </x:c>
      <x:c r="L14" s="92" t="str">
        <x:f>IFERROR(INDEX('8. Materiály'!$K$6:$K$56,MATCH(D14,'8. Materiály'!$A$6:$A$56,0)),"CHYBÍ")</x:f>
        <x:v>ODHAD</x:v>
      </x:c>
      <x:c r="M14" s="233" t="str">
        <x:f>IFERROR(INDEX('8. Materiály'!$I$6:$I$56,MATCH(D14,'8. Materiály'!$A$6:$A$56,0)),"")</x:f>
      </x:c>
    </x:row>
    <x:row r="15">
      <x:c r="A15" s="47" t="str">
        <x:v>OS_VF_02</x:v>
      </x:c>
      <x:c r="B15" s="47" t="str">
        <x:v>R0</x:v>
      </x:c>
      <x:c r="C15" s="47" t="str">
        <x:v>Vrstva 3</x:v>
      </x:c>
      <x:c r="D15" s="219" t="str">
        <x:v>MAT-008</x:v>
      </x:c>
      <x:c r="E15" s="47" t="str">
        <x:v>Nosný dřevěný skelet</x:v>
      </x:c>
      <x:c r="F15" s="92" t="str">
        <x:f>IFERROR(INDEX('8. Materiály'!$B$6:$B$56,MATCH(D15,'8. Materiály'!$A$6:$A$56,0)),"")</x:f>
        <x:v>KVH hranol 200 mm</x:v>
      </x:c>
      <x:c r="G15" s="231" t="n">
        <x:f>IFERROR(INDEX('8. Materiály'!$C$6:$C$56,MATCH(D15,'8. Materiály'!$A$6:$A$56,0)),"")</x:f>
        <x:v>200</x:v>
      </x:c>
      <x:c r="H15" s="92" t="str">
        <x:f>IFERROR(INDEX('8. Materiály'!$D$6:$D$56,MATCH(D15,'8. Materiály'!$A$6:$A$56,0)),"")</x:f>
        <x:v>m³</x:v>
      </x:c>
      <x:c r="I15" s="232" t="n">
        <x:v>0.04</x:v>
      </x:c>
      <x:c r="J15" s="90" t="n">
        <x:f>IFERROR(INDEX('8. Materiály'!$G$6:$G$56,MATCH(D15,'8. Materiály'!$A$6:$A$56,0)),0)</x:f>
        <x:v>12500</x:v>
      </x:c>
      <x:c r="K15" s="59" t="n">
        <x:f>I15*J15</x:f>
        <x:v>500</x:v>
      </x:c>
      <x:c r="L15" s="92" t="str">
        <x:f>IFERROR(INDEX('8. Materiály'!$K$6:$K$56,MATCH(D15,'8. Materiály'!$A$6:$A$56,0)),"CHYBÍ")</x:f>
        <x:v>ODHAD</x:v>
      </x:c>
      <x:c r="M15" s="233" t="str">
        <x:f>IFERROR(INDEX('8. Materiály'!$I$6:$I$56,MATCH(D15,'8. Materiály'!$A$6:$A$56,0)),"")</x:f>
      </x:c>
    </x:row>
    <x:row r="16">
      <x:c r="A16" s="47" t="str">
        <x:v>OS_VF_02</x:v>
      </x:c>
      <x:c r="B16" s="47" t="str">
        <x:v>R0</x:v>
      </x:c>
      <x:c r="C16" s="47" t="str">
        <x:v>Vrstva 4</x:v>
      </x:c>
      <x:c r="D16" s="219" t="str">
        <x:v>MAT-009</x:v>
      </x:c>
      <x:c r="E16" s="47" t="str">
        <x:v>Mezilehlá izolace</x:v>
      </x:c>
      <x:c r="F16" s="92" t="str">
        <x:f>IFERROR(INDEX('8. Materiály'!$B$6:$B$56,MATCH(D16,'8. Materiály'!$A$6:$A$56,0)),"")</x:f>
        <x:v>Isover Uni 200 mm</x:v>
      </x:c>
      <x:c r="G16" s="231" t="n">
        <x:f>IFERROR(INDEX('8. Materiály'!$C$6:$C$56,MATCH(D16,'8. Materiály'!$A$6:$A$56,0)),"")</x:f>
        <x:v>200</x:v>
      </x:c>
      <x:c r="H16" s="92" t="str">
        <x:f>IFERROR(INDEX('8. Materiály'!$D$6:$D$56,MATCH(D16,'8. Materiály'!$A$6:$A$56,0)),"")</x:f>
        <x:v>m²</x:v>
      </x:c>
      <x:c r="I16" s="232" t="n">
        <x:v>1.02</x:v>
      </x:c>
      <x:c r="J16" s="90" t="n">
        <x:f>IFERROR(INDEX('8. Materiály'!$G$6:$G$56,MATCH(D16,'8. Materiály'!$A$6:$A$56,0)),0)</x:f>
        <x:v>450</x:v>
      </x:c>
      <x:c r="K16" s="59" t="n">
        <x:f>I16*J16</x:f>
        <x:v>459</x:v>
      </x:c>
      <x:c r="L16" s="92" t="str">
        <x:f>IFERROR(INDEX('8. Materiály'!$K$6:$K$56,MATCH(D16,'8. Materiály'!$A$6:$A$56,0)),"CHYBÍ")</x:f>
        <x:v>ODHAD</x:v>
      </x:c>
      <x:c r="M16" s="233" t="str">
        <x:f>IFERROR(INDEX('8. Materiály'!$I$6:$I$56,MATCH(D16,'8. Materiály'!$A$6:$A$56,0)),"")</x:f>
      </x:c>
    </x:row>
    <x:row r="17">
      <x:c r="A17" s="47" t="str">
        <x:v>OS_VF_02</x:v>
      </x:c>
      <x:c r="B17" s="47" t="str">
        <x:v>R0</x:v>
      </x:c>
      <x:c r="C17" s="47" t="str">
        <x:v>Vrstva 5</x:v>
      </x:c>
      <x:c r="D17" s="219" t="str">
        <x:v>MAT-010</x:v>
      </x:c>
      <x:c r="E17" s="47" t="str">
        <x:v>Dřevovláknitá deska</x:v>
      </x:c>
      <x:c r="F17" s="92" t="str">
        <x:f>IFERROR(INDEX('8. Materiály'!$B$6:$B$56,MATCH(D17,'8. Materiály'!$A$6:$A$56,0)),"")</x:f>
        <x:v>STEICO protect 60 mm</x:v>
      </x:c>
      <x:c r="G17" s="231" t="n">
        <x:f>IFERROR(INDEX('8. Materiály'!$C$6:$C$56,MATCH(D17,'8. Materiály'!$A$6:$A$56,0)),"")</x:f>
        <x:v>60</x:v>
      </x:c>
      <x:c r="H17" s="92" t="str">
        <x:f>IFERROR(INDEX('8. Materiály'!$D$6:$D$56,MATCH(D17,'8. Materiály'!$A$6:$A$56,0)),"")</x:f>
        <x:v>m²</x:v>
      </x:c>
      <x:c r="I17" s="232" t="n">
        <x:v>1.05</x:v>
      </x:c>
      <x:c r="J17" s="90" t="n">
        <x:f>IFERROR(INDEX('8. Materiály'!$G$6:$G$56,MATCH(D17,'8. Materiály'!$A$6:$A$56,0)),0)</x:f>
        <x:v>520</x:v>
      </x:c>
      <x:c r="K17" s="59" t="n">
        <x:f>I17*J17</x:f>
        <x:v>546</x:v>
      </x:c>
      <x:c r="L17" s="92" t="str">
        <x:f>IFERROR(INDEX('8. Materiály'!$K$6:$K$56,MATCH(D17,'8. Materiály'!$A$6:$A$56,0)),"CHYBÍ")</x:f>
        <x:v>ODHAD</x:v>
      </x:c>
      <x:c r="M17" s="233" t="str">
        <x:f>IFERROR(INDEX('8. Materiály'!$I$6:$I$56,MATCH(D17,'8. Materiály'!$A$6:$A$56,0)),"")</x:f>
      </x:c>
    </x:row>
    <x:row r="18">
      <x:c r="A18" s="47" t="str">
        <x:v>OS_VF_02</x:v>
      </x:c>
      <x:c r="B18" s="47" t="str">
        <x:v>R0</x:v>
      </x:c>
      <x:c r="C18" s="47" t="str">
        <x:v>Vrstva 6</x:v>
      </x:c>
      <x:c r="D18" s="219" t="str">
        <x:v>MAT-011</x:v>
      </x:c>
      <x:c r="E18" s="47" t="str">
        <x:v>Provětrávaný dřevěný rošt</x:v>
      </x:c>
      <x:c r="F18" s="92" t="str">
        <x:f>IFERROR(INDEX('8. Materiály'!$B$6:$B$56,MATCH(D18,'8. Materiály'!$A$6:$A$56,0)),"")</x:f>
        <x:v>Latě 40×60 mm (impregnované)</x:v>
      </x:c>
      <x:c r="G18" s="231" t="n">
        <x:f>IFERROR(INDEX('8. Materiály'!$C$6:$C$56,MATCH(D18,'8. Materiály'!$A$6:$A$56,0)),"")</x:f>
        <x:v>40</x:v>
      </x:c>
      <x:c r="H18" s="92" t="str">
        <x:f>IFERROR(INDEX('8. Materiály'!$D$6:$D$56,MATCH(D18,'8. Materiály'!$A$6:$A$56,0)),"")</x:f>
        <x:v>m³</x:v>
      </x:c>
      <x:c r="I18" s="232" t="n">
        <x:v>0.008</x:v>
      </x:c>
      <x:c r="J18" s="90" t="n">
        <x:f>IFERROR(INDEX('8. Materiály'!$G$6:$G$56,MATCH(D18,'8. Materiály'!$A$6:$A$56,0)),0)</x:f>
        <x:v>11000</x:v>
      </x:c>
      <x:c r="K18" s="59" t="n">
        <x:f>I18*J18</x:f>
        <x:v>88</x:v>
      </x:c>
      <x:c r="L18" s="92" t="str">
        <x:f>IFERROR(INDEX('8. Materiály'!$K$6:$K$56,MATCH(D18,'8. Materiály'!$A$6:$A$56,0)),"CHYBÍ")</x:f>
        <x:v>ODHAD</x:v>
      </x:c>
      <x:c r="M18" s="233" t="str">
        <x:f>IFERROR(INDEX('8. Materiály'!$I$6:$I$56,MATCH(D18,'8. Materiály'!$A$6:$A$56,0)),"")</x:f>
      </x:c>
    </x:row>
    <x:row r="19">
      <x:c r="A19" s="47" t="str">
        <x:v>OS_VF_02</x:v>
      </x:c>
      <x:c r="B19" s="47" t="str">
        <x:v>R0</x:v>
      </x:c>
      <x:c r="C19" s="47" t="str">
        <x:v>Vrstva 7</x:v>
      </x:c>
      <x:c r="D19" s="219" t="str">
        <x:v>MAT-012</x:v>
      </x:c>
      <x:c r="E19" s="47" t="str">
        <x:v>Dřevěný obklad</x:v>
      </x:c>
      <x:c r="F19" s="92" t="str">
        <x:f>IFERROR(INDEX('8. Materiály'!$B$6:$B$56,MATCH(D19,'8. Materiály'!$A$6:$A$56,0)),"")</x:f>
        <x:v>Sibiřský modřín Rhombus 24×68 mm</x:v>
      </x:c>
      <x:c r="G19" s="231" t="n">
        <x:f>IFERROR(INDEX('8. Materiály'!$C$6:$C$56,MATCH(D19,'8. Materiály'!$A$6:$A$56,0)),"")</x:f>
        <x:v>24</x:v>
      </x:c>
      <x:c r="H19" s="92" t="str">
        <x:f>IFERROR(INDEX('8. Materiály'!$D$6:$D$56,MATCH(D19,'8. Materiály'!$A$6:$A$56,0)),"")</x:f>
        <x:v>m²</x:v>
      </x:c>
      <x:c r="I19" s="232" t="n">
        <x:v>1.12</x:v>
      </x:c>
      <x:c r="J19" s="90" t="n">
        <x:f>IFERROR(INDEX('8. Materiály'!$G$6:$G$56,MATCH(D19,'8. Materiály'!$A$6:$A$56,0)),0)</x:f>
        <x:v>1150</x:v>
      </x:c>
      <x:c r="K19" s="59" t="n">
        <x:f>I19*J19</x:f>
        <x:v>1288.0000000000002</x:v>
      </x:c>
      <x:c r="L19" s="92" t="str">
        <x:f>IFERROR(INDEX('8. Materiály'!$K$6:$K$56,MATCH(D19,'8. Materiály'!$A$6:$A$56,0)),"CHYBÍ")</x:f>
        <x:v>ODHAD</x:v>
      </x:c>
      <x:c r="M19" s="233" t="str">
        <x:f>IFERROR(INDEX('8. Materiály'!$I$6:$I$56,MATCH(D19,'8. Materiály'!$A$6:$A$56,0)),"")</x:f>
      </x:c>
    </x:row>
    <x:row r="20">
      <x:c r="A20" s="47" t="str">
        <x:v>OS_VF_03</x:v>
      </x:c>
      <x:c r="B20" s="47" t="str">
        <x:v>R0</x:v>
      </x:c>
      <x:c r="C20" s="47" t="str">
        <x:v>Vrstva 1</x:v>
      </x:c>
      <x:c r="D20" s="219" t="str">
        <x:v>MAT-013</x:v>
      </x:c>
      <x:c r="E20" s="47" t="str">
        <x:v>Protipožární záklop</x:v>
      </x:c>
      <x:c r="F20" s="92" t="str">
        <x:f>IFERROR(INDEX('8. Materiály'!$B$6:$B$56,MATCH(D20,'8. Materiály'!$A$6:$A$56,0)),"")</x:f>
        <x:v>Knauf DF 15 mm</x:v>
      </x:c>
      <x:c r="G20" s="231" t="n">
        <x:f>IFERROR(INDEX('8. Materiály'!$C$6:$C$56,MATCH(D20,'8. Materiály'!$A$6:$A$56,0)),"")</x:f>
        <x:v>15</x:v>
      </x:c>
      <x:c r="H20" s="92" t="str">
        <x:f>IFERROR(INDEX('8. Materiály'!$D$6:$D$56,MATCH(D20,'8. Materiály'!$A$6:$A$56,0)),"")</x:f>
        <x:v>m²</x:v>
      </x:c>
      <x:c r="I20" s="232" t="n">
        <x:v>1.05</x:v>
      </x:c>
      <x:c r="J20" s="90" t="n">
        <x:f>IFERROR(INDEX('8. Materiály'!$G$6:$G$56,MATCH(D20,'8. Materiály'!$A$6:$A$56,0)),0)</x:f>
        <x:v>190</x:v>
      </x:c>
      <x:c r="K20" s="59" t="n">
        <x:f>I20*J20</x:f>
        <x:v>199.5</x:v>
      </x:c>
      <x:c r="L20" s="92" t="str">
        <x:f>IFERROR(INDEX('8. Materiály'!$K$6:$K$56,MATCH(D20,'8. Materiály'!$A$6:$A$56,0)),"CHYBÍ")</x:f>
        <x:v>ODHAD</x:v>
      </x:c>
      <x:c r="M20" s="233" t="str">
        <x:f>IFERROR(INDEX('8. Materiály'!$I$6:$I$56,MATCH(D20,'8. Materiály'!$A$6:$A$56,0)),"")</x:f>
      </x:c>
    </x:row>
    <x:row r="21">
      <x:c r="A21" s="47" t="str">
        <x:v>OS_VF_03</x:v>
      </x:c>
      <x:c r="B21" s="47" t="str">
        <x:v>R0</x:v>
      </x:c>
      <x:c r="C21" s="47" t="str">
        <x:v>Vrstva 2</x:v>
      </x:c>
      <x:c r="D21" s="219" t="str">
        <x:v>MAT-002</x:v>
      </x:c>
      <x:c r="E21" s="47" t="str">
        <x:v>Parotěsná zábrana</x:v>
      </x:c>
      <x:c r="F21" s="92" t="str">
        <x:f>IFERROR(INDEX('8. Materiály'!$B$6:$B$56,MATCH(D21,'8. Materiály'!$A$6:$A$56,0)),"")</x:f>
        <x:v>Vesper VaporStop 0.2 mm</x:v>
      </x:c>
      <x:c r="G21" s="231" t="n">
        <x:f>IFERROR(INDEX('8. Materiály'!$C$6:$C$56,MATCH(D21,'8. Materiály'!$A$6:$A$56,0)),"")</x:f>
        <x:v>0.2</x:v>
      </x:c>
      <x:c r="H21" s="92" t="str">
        <x:f>IFERROR(INDEX('8. Materiály'!$D$6:$D$56,MATCH(D21,'8. Materiály'!$A$6:$A$56,0)),"")</x:f>
        <x:v>m²</x:v>
      </x:c>
      <x:c r="I21" s="232" t="n">
        <x:v>1.1</x:v>
      </x:c>
      <x:c r="J21" s="90" t="n">
        <x:f>IFERROR(INDEX('8. Materiály'!$G$6:$G$56,MATCH(D21,'8. Materiály'!$A$6:$A$56,0)),0)</x:f>
        <x:v>45</x:v>
      </x:c>
      <x:c r="K21" s="59" t="n">
        <x:f>I21*J21</x:f>
        <x:v>49.50000000000001</x:v>
      </x:c>
      <x:c r="L21" s="92" t="str">
        <x:f>IFERROR(INDEX('8. Materiály'!$K$6:$K$56,MATCH(D21,'8. Materiály'!$A$6:$A$56,0)),"CHYBÍ")</x:f>
        <x:v>ODHAD</x:v>
      </x:c>
      <x:c r="M21" s="233" t="str">
        <x:f>IFERROR(INDEX('8. Materiály'!$I$6:$I$56,MATCH(D21,'8. Materiály'!$A$6:$A$56,0)),"")</x:f>
      </x:c>
    </x:row>
    <x:row r="22">
      <x:c r="A22" s="47" t="str">
        <x:v>OS_VF_03</x:v>
      </x:c>
      <x:c r="B22" s="47" t="str">
        <x:v>R0</x:v>
      </x:c>
      <x:c r="C22" s="47" t="str">
        <x:v>Vrstva 3</x:v>
      </x:c>
      <x:c r="D22" s="219" t="str">
        <x:v>MAT-014</x:v>
      </x:c>
      <x:c r="E22" s="47" t="str">
        <x:v>Ocelový/Protipožární skelet</x:v>
      </x:c>
      <x:c r="F22" s="92" t="str">
        <x:f>IFERROR(INDEX('8. Materiály'!$B$6:$B$56,MATCH(D22,'8. Materiály'!$A$6:$A$56,0)),"")</x:f>
        <x:v>DP1 ocelový profil 160 mm</x:v>
      </x:c>
      <x:c r="G22" s="231" t="n">
        <x:f>IFERROR(INDEX('8. Materiály'!$C$6:$C$56,MATCH(D22,'8. Materiály'!$A$6:$A$56,0)),"")</x:f>
        <x:v>160</x:v>
      </x:c>
      <x:c r="H22" s="92" t="str">
        <x:f>IFERROR(INDEX('8. Materiály'!$D$6:$D$56,MATCH(D22,'8. Materiály'!$A$6:$A$56,0)),"")</x:f>
        <x:v>m³</x:v>
      </x:c>
      <x:c r="I22" s="232" t="n">
        <x:v>0.035</x:v>
      </x:c>
      <x:c r="J22" s="90" t="n">
        <x:f>IFERROR(INDEX('8. Materiály'!$G$6:$G$56,MATCH(D22,'8. Materiály'!$A$6:$A$56,0)),0)</x:f>
        <x:v>18500</x:v>
      </x:c>
      <x:c r="K22" s="59" t="n">
        <x:f>I22*J22</x:f>
        <x:v>647.5000000000001</x:v>
      </x:c>
      <x:c r="L22" s="92" t="str">
        <x:f>IFERROR(INDEX('8. Materiály'!$K$6:$K$56,MATCH(D22,'8. Materiály'!$A$6:$A$56,0)),"CHYBÍ")</x:f>
        <x:v>ODHAD</x:v>
      </x:c>
      <x:c r="M22" s="233" t="str">
        <x:f>IFERROR(INDEX('8. Materiály'!$I$6:$I$56,MATCH(D22,'8. Materiály'!$A$6:$A$56,0)),"")</x:f>
      </x:c>
    </x:row>
    <x:row r="23">
      <x:c r="A23" s="47" t="str">
        <x:v>OS_VF_03</x:v>
      </x:c>
      <x:c r="B23" s="47" t="str">
        <x:v>R0</x:v>
      </x:c>
      <x:c r="C23" s="47" t="str">
        <x:v>Vrstva 4</x:v>
      </x:c>
      <x:c r="D23" s="219" t="str">
        <x:v>MAT-015</x:v>
      </x:c>
      <x:c r="E23" s="47" t="str">
        <x:v>Požární minerální vata</x:v>
      </x:c>
      <x:c r="F23" s="92" t="str">
        <x:f>IFERROR(INDEX('8. Materiály'!$B$6:$B$56,MATCH(D23,'8. Materiály'!$A$6:$A$56,0)),"")</x:f>
        <x:v>Knauf FKD N Thermal 160 mm</x:v>
      </x:c>
      <x:c r="G23" s="231" t="n">
        <x:f>IFERROR(INDEX('8. Materiály'!$C$6:$C$56,MATCH(D23,'8. Materiály'!$A$6:$A$56,0)),"")</x:f>
        <x:v>160</x:v>
      </x:c>
      <x:c r="H23" s="92" t="str">
        <x:f>IFERROR(INDEX('8. Materiály'!$D$6:$D$56,MATCH(D23,'8. Materiály'!$A$6:$A$56,0)),"")</x:f>
        <x:v>m²</x:v>
      </x:c>
      <x:c r="I23" s="232" t="n">
        <x:v>1.02</x:v>
      </x:c>
      <x:c r="J23" s="90" t="n">
        <x:f>IFERROR(INDEX('8. Materiály'!$G$6:$G$56,MATCH(D23,'8. Materiály'!$A$6:$A$56,0)),0)</x:f>
        <x:v>540</x:v>
      </x:c>
      <x:c r="K23" s="59" t="n">
        <x:f>I23*J23</x:f>
        <x:v>550.8</x:v>
      </x:c>
      <x:c r="L23" s="92" t="str">
        <x:f>IFERROR(INDEX('8. Materiály'!$K$6:$K$56,MATCH(D23,'8. Materiály'!$A$6:$A$56,0)),"CHYBÍ")</x:f>
        <x:v>ODHAD</x:v>
      </x:c>
      <x:c r="M23" s="233" t="str">
        <x:f>IFERROR(INDEX('8. Materiály'!$I$6:$I$56,MATCH(D23,'8. Materiály'!$A$6:$A$56,0)),"")</x:f>
      </x:c>
    </x:row>
    <x:row r="24">
      <x:c r="A24" s="47" t="str">
        <x:v>OS_VF_03</x:v>
      </x:c>
      <x:c r="B24" s="47" t="str">
        <x:v>R0</x:v>
      </x:c>
      <x:c r="C24" s="47" t="str">
        <x:v>Vrstva 5</x:v>
      </x:c>
      <x:c r="D24" s="219" t="str">
        <x:v>MAT-016</x:v>
      </x:c>
      <x:c r="E24" s="47" t="str">
        <x:v>Protipožární záklop</x:v>
      </x:c>
      <x:c r="F24" s="92" t="str">
        <x:f>IFERROR(INDEX('8. Materiály'!$B$6:$B$56,MATCH(D24,'8. Materiály'!$A$6:$A$56,0)),"")</x:f>
        <x:v>Promat Promatect H 15 mm</x:v>
      </x:c>
      <x:c r="G24" s="231" t="n">
        <x:f>IFERROR(INDEX('8. Materiály'!$C$6:$C$56,MATCH(D24,'8. Materiály'!$A$6:$A$56,0)),"")</x:f>
        <x:v>15</x:v>
      </x:c>
      <x:c r="H24" s="92" t="str">
        <x:f>IFERROR(INDEX('8. Materiály'!$D$6:$D$56,MATCH(D24,'8. Materiály'!$A$6:$A$56,0)),"")</x:f>
        <x:v>m²</x:v>
      </x:c>
      <x:c r="I24" s="232" t="n">
        <x:v>1.05</x:v>
      </x:c>
      <x:c r="J24" s="90" t="n">
        <x:f>IFERROR(INDEX('8. Materiály'!$G$6:$G$56,MATCH(D24,'8. Materiály'!$A$6:$A$56,0)),0)</x:f>
        <x:v>890</x:v>
      </x:c>
      <x:c r="K24" s="59" t="n">
        <x:f>I24*J24</x:f>
        <x:v>934.5</x:v>
      </x:c>
      <x:c r="L24" s="92" t="str">
        <x:f>IFERROR(INDEX('8. Materiály'!$K$6:$K$56,MATCH(D24,'8. Materiály'!$A$6:$A$56,0)),"CHYBÍ")</x:f>
        <x:v>ODHAD</x:v>
      </x:c>
      <x:c r="M24" s="233" t="str">
        <x:f>IFERROR(INDEX('8. Materiály'!$I$6:$I$56,MATCH(D24,'8. Materiály'!$A$6:$A$56,0)),"")</x:f>
      </x:c>
    </x:row>
    <x:row r="25">
      <x:c r="A25" s="47" t="str">
        <x:v>OS_VF_03</x:v>
      </x:c>
      <x:c r="B25" s="47" t="str">
        <x:v>R0</x:v>
      </x:c>
      <x:c r="C25" s="47" t="str">
        <x:v>Vrstva 6</x:v>
      </x:c>
      <x:c r="D25" s="219" t="str">
        <x:v>MAT-017</x:v>
      </x:c>
      <x:c r="E25" s="47" t="str">
        <x:v>Fasádní izolace DP1</x:v>
      </x:c>
      <x:c r="F25" s="92" t="str">
        <x:f>IFERROR(INDEX('8. Materiály'!$B$6:$B$56,MATCH(D25,'8. Materiály'!$A$6:$A$56,0)),"")</x:f>
        <x:v>Isover TF Profi 160 mm</x:v>
      </x:c>
      <x:c r="G25" s="231" t="n">
        <x:f>IFERROR(INDEX('8. Materiály'!$C$6:$C$56,MATCH(D25,'8. Materiály'!$A$6:$A$56,0)),"")</x:f>
        <x:v>160</x:v>
      </x:c>
      <x:c r="H25" s="92" t="str">
        <x:f>IFERROR(INDEX('8. Materiály'!$D$6:$D$56,MATCH(D25,'8. Materiály'!$A$6:$A$56,0)),"")</x:f>
        <x:v>m²</x:v>
      </x:c>
      <x:c r="I25" s="232" t="n">
        <x:v>1.02</x:v>
      </x:c>
      <x:c r="J25" s="90" t="n">
        <x:f>IFERROR(INDEX('8. Materiály'!$G$6:$G$56,MATCH(D25,'8. Materiály'!$A$6:$A$56,0)),0)</x:f>
        <x:v>520</x:v>
      </x:c>
      <x:c r="K25" s="59" t="n">
        <x:f>I25*J25</x:f>
        <x:v>530.4</x:v>
      </x:c>
      <x:c r="L25" s="92" t="str">
        <x:f>IFERROR(INDEX('8. Materiály'!$K$6:$K$56,MATCH(D25,'8. Materiály'!$A$6:$A$56,0)),"CHYBÍ")</x:f>
        <x:v>ODHAD</x:v>
      </x:c>
      <x:c r="M25" s="233" t="str">
        <x:f>IFERROR(INDEX('8. Materiály'!$I$6:$I$56,MATCH(D25,'8. Materiály'!$A$6:$A$56,0)),"")</x:f>
      </x:c>
    </x:row>
    <x:row r="26">
      <x:c r="A26" s="47" t="str">
        <x:v>OS_VF_03</x:v>
      </x:c>
      <x:c r="B26" s="47" t="str">
        <x:v>R0</x:v>
      </x:c>
      <x:c r="C26" s="47" t="str">
        <x:v>Vrstva 7</x:v>
      </x:c>
      <x:c r="D26" s="219" t="str">
        <x:v>MAT-018</x:v>
      </x:c>
      <x:c r="E26" s="47" t="str">
        <x:v>Omítkový systém DP1</x:v>
      </x:c>
      <x:c r="F26" s="92" t="str">
        <x:f>IFERROR(INDEX('8. Materiály'!$B$6:$B$56,MATCH(D26,'8. Materiály'!$A$6:$A$56,0)),"")</x:f>
        <x:v>Weber therm A2 silikát</x:v>
      </x:c>
      <x:c r="G26" s="231" t="n">
        <x:f>IFERROR(INDEX('8. Materiály'!$C$6:$C$56,MATCH(D26,'8. Materiály'!$A$6:$A$56,0)),"")</x:f>
        <x:v>8.3</x:v>
      </x:c>
      <x:c r="H26" s="92" t="str">
        <x:f>IFERROR(INDEX('8. Materiály'!$D$6:$D$56,MATCH(D26,'8. Materiály'!$A$6:$A$56,0)),"")</x:f>
        <x:v>m²</x:v>
      </x:c>
      <x:c r="I26" s="232" t="n">
        <x:v>1.05</x:v>
      </x:c>
      <x:c r="J26" s="90" t="n">
        <x:f>IFERROR(INDEX('8. Materiály'!$G$6:$G$56,MATCH(D26,'8. Materiály'!$A$6:$A$56,0)),0)</x:f>
        <x:v>460</x:v>
      </x:c>
      <x:c r="K26" s="59" t="n">
        <x:f>I26*J26</x:f>
        <x:v>483</x:v>
      </x:c>
      <x:c r="L26" s="92" t="str">
        <x:f>IFERROR(INDEX('8. Materiály'!$K$6:$K$56,MATCH(D26,'8. Materiály'!$A$6:$A$56,0)),"CHYBÍ")</x:f>
        <x:v>ODHAD</x:v>
      </x:c>
      <x:c r="M26" s="233" t="str">
        <x:f>IFERROR(INDEX('8. Materiály'!$I$6:$I$56,MATCH(D26,'8. Materiály'!$A$6:$A$56,0)),"")</x:f>
      </x:c>
    </x:row>
    <x:row r="27">
      <x:c r="A27" s="47" t="str">
        <x:v>NS_VF_01</x:v>
      </x:c>
      <x:c r="B27" s="47" t="str">
        <x:v>R0</x:v>
      </x:c>
      <x:c r="C27" s="47" t="str">
        <x:v>Vrstva 1</x:v>
      </x:c>
      <x:c r="D27" s="219" t="str">
        <x:v>MAT-001</x:v>
      </x:c>
      <x:c r="E27" s="47" t="str">
        <x:v>Záklop Strana A</x:v>
      </x:c>
      <x:c r="F27" s="92" t="str">
        <x:f>IFERROR(INDEX('8. Materiály'!$B$6:$B$56,MATCH(D27,'8. Materiály'!$A$6:$A$56,0)),"")</x:f>
        <x:v>Fermacell 15 mm</x:v>
      </x:c>
      <x:c r="G27" s="231" t="n">
        <x:f>IFERROR(INDEX('8. Materiály'!$C$6:$C$56,MATCH(D27,'8. Materiály'!$A$6:$A$56,0)),"")</x:f>
        <x:v>15</x:v>
      </x:c>
      <x:c r="H27" s="92" t="str">
        <x:f>IFERROR(INDEX('8. Materiály'!$D$6:$D$56,MATCH(D27,'8. Materiály'!$A$6:$A$56,0)),"")</x:f>
        <x:v>m²</x:v>
      </x:c>
      <x:c r="I27" s="232" t="n">
        <x:v>1.05</x:v>
      </x:c>
      <x:c r="J27" s="90" t="n">
        <x:f>IFERROR(INDEX('8. Materiály'!$G$6:$G$56,MATCH(D27,'8. Materiály'!$A$6:$A$56,0)),0)</x:f>
        <x:v>280</x:v>
      </x:c>
      <x:c r="K27" s="59" t="n">
        <x:f>I27*J27</x:f>
        <x:v>294</x:v>
      </x:c>
      <x:c r="L27" s="92" t="str">
        <x:f>IFERROR(INDEX('8. Materiály'!$K$6:$K$56,MATCH(D27,'8. Materiály'!$A$6:$A$56,0)),"CHYBÍ")</x:f>
        <x:v>ODHAD</x:v>
      </x:c>
      <x:c r="M27" s="233" t="str">
        <x:f>IFERROR(INDEX('8. Materiály'!$I$6:$I$56,MATCH(D27,'8. Materiály'!$A$6:$A$56,0)),"")</x:f>
      </x:c>
    </x:row>
    <x:row r="28">
      <x:c r="A28" s="47" t="str">
        <x:v>NS_VF_01</x:v>
      </x:c>
      <x:c r="B28" s="47" t="str">
        <x:v>R0</x:v>
      </x:c>
      <x:c r="C28" s="47" t="str">
        <x:v>Vrstva 2</x:v>
      </x:c>
      <x:c r="D28" s="219" t="str">
        <x:v>MAT-019</x:v>
      </x:c>
      <x:c r="E28" s="47" t="str">
        <x:v>Nosný dřevěný rám</x:v>
      </x:c>
      <x:c r="F28" s="92" t="str">
        <x:f>IFERROR(INDEX('8. Materiály'!$B$6:$B$56,MATCH(D28,'8. Materiály'!$A$6:$A$56,0)),"")</x:f>
        <x:v>KVH hranol 120 mm</x:v>
      </x:c>
      <x:c r="G28" s="231" t="n">
        <x:f>IFERROR(INDEX('8. Materiály'!$C$6:$C$56,MATCH(D28,'8. Materiály'!$A$6:$A$56,0)),"")</x:f>
        <x:v>120</x:v>
      </x:c>
      <x:c r="H28" s="92" t="str">
        <x:f>IFERROR(INDEX('8. Materiály'!$D$6:$D$56,MATCH(D28,'8. Materiály'!$A$6:$A$56,0)),"")</x:f>
        <x:v>m³</x:v>
      </x:c>
      <x:c r="I28" s="232" t="n">
        <x:v>0.025</x:v>
      </x:c>
      <x:c r="J28" s="90" t="n">
        <x:f>IFERROR(INDEX('8. Materiály'!$G$6:$G$56,MATCH(D28,'8. Materiály'!$A$6:$A$56,0)),0)</x:f>
        <x:v>12500</x:v>
      </x:c>
      <x:c r="K28" s="59" t="n">
        <x:f>I28*J28</x:f>
        <x:v>312.5</x:v>
      </x:c>
      <x:c r="L28" s="92" t="str">
        <x:f>IFERROR(INDEX('8. Materiály'!$K$6:$K$56,MATCH(D28,'8. Materiály'!$A$6:$A$56,0)),"CHYBÍ")</x:f>
        <x:v>ODHAD</x:v>
      </x:c>
      <x:c r="M28" s="233" t="str">
        <x:f>IFERROR(INDEX('8. Materiály'!$I$6:$I$56,MATCH(D28,'8. Materiály'!$A$6:$A$56,0)),"")</x:f>
      </x:c>
    </x:row>
    <x:row r="29">
      <x:c r="A29" s="47" t="str">
        <x:v>NS_VF_01</x:v>
      </x:c>
      <x:c r="B29" s="47" t="str">
        <x:v>R0</x:v>
      </x:c>
      <x:c r="C29" s="47" t="str">
        <x:v>Vrstva 3</x:v>
      </x:c>
      <x:c r="D29" s="219" t="str">
        <x:v>MAT-020</x:v>
      </x:c>
      <x:c r="E29" s="47" t="str">
        <x:v>Akustická izolace</x:v>
      </x:c>
      <x:c r="F29" s="92" t="str">
        <x:f>IFERROR(INDEX('8. Materiály'!$B$6:$B$56,MATCH(D29,'8. Materiály'!$A$6:$A$56,0)),"")</x:f>
        <x:v>Isover Piano 120 mm</x:v>
      </x:c>
      <x:c r="G29" s="231" t="n">
        <x:f>IFERROR(INDEX('8. Materiály'!$C$6:$C$56,MATCH(D29,'8. Materiály'!$A$6:$A$56,0)),"")</x:f>
        <x:v>120</x:v>
      </x:c>
      <x:c r="H29" s="92" t="str">
        <x:f>IFERROR(INDEX('8. Materiály'!$D$6:$D$56,MATCH(D29,'8. Materiály'!$A$6:$A$56,0)),"")</x:f>
        <x:v>m²</x:v>
      </x:c>
      <x:c r="I29" s="232" t="n">
        <x:v>1.02</x:v>
      </x:c>
      <x:c r="J29" s="90" t="n">
        <x:f>IFERROR(INDEX('8. Materiály'!$G$6:$G$56,MATCH(D29,'8. Materiály'!$A$6:$A$56,0)),0)</x:f>
        <x:v>240</x:v>
      </x:c>
      <x:c r="K29" s="59" t="n">
        <x:f>I29*J29</x:f>
        <x:v>244.8</x:v>
      </x:c>
      <x:c r="L29" s="92" t="str">
        <x:f>IFERROR(INDEX('8. Materiály'!$K$6:$K$56,MATCH(D29,'8. Materiály'!$A$6:$A$56,0)),"CHYBÍ")</x:f>
        <x:v>ODHAD</x:v>
      </x:c>
      <x:c r="M29" s="233" t="str">
        <x:f>IFERROR(INDEX('8. Materiály'!$I$6:$I$56,MATCH(D29,'8. Materiály'!$A$6:$A$56,0)),"")</x:f>
      </x:c>
    </x:row>
    <x:row r="30">
      <x:c r="A30" s="47" t="str">
        <x:v>NS_VF_01</x:v>
      </x:c>
      <x:c r="B30" s="47" t="str">
        <x:v>R0</x:v>
      </x:c>
      <x:c r="C30" s="47" t="str">
        <x:v>Vrstva 4</x:v>
      </x:c>
      <x:c r="D30" s="219" t="str">
        <x:v>MAT-001</x:v>
      </x:c>
      <x:c r="E30" s="47" t="str">
        <x:v>Záklop Strana B</x:v>
      </x:c>
      <x:c r="F30" s="92" t="str">
        <x:f>IFERROR(INDEX('8. Materiály'!$B$6:$B$56,MATCH(D30,'8. Materiály'!$A$6:$A$56,0)),"")</x:f>
        <x:v>Fermacell 15 mm</x:v>
      </x:c>
      <x:c r="G30" s="231" t="n">
        <x:f>IFERROR(INDEX('8. Materiály'!$C$6:$C$56,MATCH(D30,'8. Materiály'!$A$6:$A$56,0)),"")</x:f>
        <x:v>15</x:v>
      </x:c>
      <x:c r="H30" s="92" t="str">
        <x:f>IFERROR(INDEX('8. Materiály'!$D$6:$D$56,MATCH(D30,'8. Materiály'!$A$6:$A$56,0)),"")</x:f>
        <x:v>m²</x:v>
      </x:c>
      <x:c r="I30" s="232" t="n">
        <x:v>1.05</x:v>
      </x:c>
      <x:c r="J30" s="90" t="n">
        <x:f>IFERROR(INDEX('8. Materiály'!$G$6:$G$56,MATCH(D30,'8. Materiály'!$A$6:$A$56,0)),0)</x:f>
        <x:v>280</x:v>
      </x:c>
      <x:c r="K30" s="59" t="n">
        <x:f>I30*J30</x:f>
        <x:v>294</x:v>
      </x:c>
      <x:c r="L30" s="92" t="str">
        <x:f>IFERROR(INDEX('8. Materiály'!$K$6:$K$56,MATCH(D30,'8. Materiály'!$A$6:$A$56,0)),"CHYBÍ")</x:f>
        <x:v>ODHAD</x:v>
      </x:c>
      <x:c r="M30" s="233" t="str">
        <x:f>IFERROR(INDEX('8. Materiály'!$I$6:$I$56,MATCH(D30,'8. Materiály'!$A$6:$A$56,0)),"")</x:f>
      </x:c>
    </x:row>
    <x:row r="31">
      <x:c r="A31" s="47" t="str">
        <x:v>DS_VF_01</x:v>
      </x:c>
      <x:c r="B31" s="47" t="str">
        <x:v>R0</x:v>
      </x:c>
      <x:c r="C31" s="47" t="str">
        <x:v>Vrstva 1</x:v>
      </x:c>
      <x:c r="D31" s="219" t="str">
        <x:v>MAT-001</x:v>
      </x:c>
      <x:c r="E31" s="47" t="str">
        <x:v>Vnější záklop Byty A</x:v>
      </x:c>
      <x:c r="F31" s="92" t="str">
        <x:f>IFERROR(INDEX('8. Materiály'!$B$6:$B$56,MATCH(D31,'8. Materiály'!$A$6:$A$56,0)),"")</x:f>
        <x:v>Fermacell 15 mm</x:v>
      </x:c>
      <x:c r="G31" s="231" t="n">
        <x:f>IFERROR(INDEX('8. Materiály'!$C$6:$C$56,MATCH(D31,'8. Materiály'!$A$6:$A$56,0)),"")</x:f>
        <x:v>15</x:v>
      </x:c>
      <x:c r="H31" s="92" t="str">
        <x:f>IFERROR(INDEX('8. Materiály'!$D$6:$D$56,MATCH(D31,'8. Materiály'!$A$6:$A$56,0)),"")</x:f>
        <x:v>m²</x:v>
      </x:c>
      <x:c r="I31" s="232" t="n">
        <x:v>1.05</x:v>
      </x:c>
      <x:c r="J31" s="90" t="n">
        <x:f>IFERROR(INDEX('8. Materiály'!$G$6:$G$56,MATCH(D31,'8. Materiály'!$A$6:$A$56,0)),0)</x:f>
        <x:v>280</x:v>
      </x:c>
      <x:c r="K31" s="59" t="n">
        <x:f>I31*J31</x:f>
        <x:v>294</x:v>
      </x:c>
      <x:c r="L31" s="92" t="str">
        <x:f>IFERROR(INDEX('8. Materiály'!$K$6:$K$56,MATCH(D31,'8. Materiály'!$A$6:$A$56,0)),"CHYBÍ")</x:f>
        <x:v>ODHAD</x:v>
      </x:c>
      <x:c r="M31" s="233" t="str">
        <x:f>IFERROR(INDEX('8. Materiály'!$I$6:$I$56,MATCH(D31,'8. Materiály'!$A$6:$A$56,0)),"")</x:f>
      </x:c>
    </x:row>
    <x:row r="32">
      <x:c r="A32" s="47" t="str">
        <x:v>DS_VF_01</x:v>
      </x:c>
      <x:c r="B32" s="47" t="str">
        <x:v>R0</x:v>
      </x:c>
      <x:c r="C32" s="47" t="str">
        <x:v>Vrstva 2</x:v>
      </x:c>
      <x:c r="D32" s="219" t="str">
        <x:v>MAT-021</x:v>
      </x:c>
      <x:c r="E32" s="47" t="str">
        <x:v>1. Nosný Rám</x:v>
      </x:c>
      <x:c r="F32" s="92" t="str">
        <x:f>IFERROR(INDEX('8. Materiály'!$B$6:$B$56,MATCH(D32,'8. Materiály'!$A$6:$A$56,0)),"")</x:f>
        <x:v>KVH hranol 100 mm</x:v>
      </x:c>
      <x:c r="G32" s="231" t="n">
        <x:f>IFERROR(INDEX('8. Materiály'!$C$6:$C$56,MATCH(D32,'8. Materiály'!$A$6:$A$56,0)),"")</x:f>
        <x:v>100</x:v>
      </x:c>
      <x:c r="H32" s="92" t="str">
        <x:f>IFERROR(INDEX('8. Materiály'!$D$6:$D$56,MATCH(D32,'8. Materiály'!$A$6:$A$56,0)),"")</x:f>
        <x:v>m³</x:v>
      </x:c>
      <x:c r="I32" s="232" t="n">
        <x:v>0.02</x:v>
      </x:c>
      <x:c r="J32" s="90" t="n">
        <x:f>IFERROR(INDEX('8. Materiály'!$G$6:$G$56,MATCH(D32,'8. Materiály'!$A$6:$A$56,0)),0)</x:f>
        <x:v>12500</x:v>
      </x:c>
      <x:c r="K32" s="59" t="n">
        <x:f>I32*J32</x:f>
        <x:v>250</x:v>
      </x:c>
      <x:c r="L32" s="92" t="str">
        <x:f>IFERROR(INDEX('8. Materiály'!$K$6:$K$56,MATCH(D32,'8. Materiály'!$A$6:$A$56,0)),"CHYBÍ")</x:f>
        <x:v>ODHAD</x:v>
      </x:c>
      <x:c r="M32" s="233" t="str">
        <x:f>IFERROR(INDEX('8. Materiály'!$I$6:$I$56,MATCH(D32,'8. Materiály'!$A$6:$A$56,0)),"")</x:f>
      </x:c>
    </x:row>
    <x:row r="33">
      <x:c r="A33" s="47" t="str">
        <x:v>DS_VF_01</x:v>
      </x:c>
      <x:c r="B33" s="47" t="str">
        <x:v>R0</x:v>
      </x:c>
      <x:c r="C33" s="47" t="str">
        <x:v>Vrstva 3</x:v>
      </x:c>
      <x:c r="D33" s="219" t="str">
        <x:v>MAT-022</x:v>
      </x:c>
      <x:c r="E33" s="47" t="str">
        <x:v>1. Akustická výplň</x:v>
      </x:c>
      <x:c r="F33" s="92" t="str">
        <x:f>IFERROR(INDEX('8. Materiály'!$B$6:$B$56,MATCH(D33,'8. Materiály'!$A$6:$A$56,0)),"")</x:f>
        <x:v>Isover Akustik 100 mm</x:v>
      </x:c>
      <x:c r="G33" s="231" t="n">
        <x:f>IFERROR(INDEX('8. Materiály'!$C$6:$C$56,MATCH(D33,'8. Materiály'!$A$6:$A$56,0)),"")</x:f>
        <x:v>100</x:v>
      </x:c>
      <x:c r="H33" s="92" t="str">
        <x:f>IFERROR(INDEX('8. Materiály'!$D$6:$D$56,MATCH(D33,'8. Materiály'!$A$6:$A$56,0)),"")</x:f>
        <x:v>m²</x:v>
      </x:c>
      <x:c r="I33" s="232" t="n">
        <x:v>1.02</x:v>
      </x:c>
      <x:c r="J33" s="90" t="n">
        <x:f>IFERROR(INDEX('8. Materiály'!$G$6:$G$56,MATCH(D33,'8. Materiály'!$A$6:$A$56,0)),0)</x:f>
        <x:v>210</x:v>
      </x:c>
      <x:c r="K33" s="59" t="n">
        <x:f>I33*J33</x:f>
        <x:v>214.20000000000002</x:v>
      </x:c>
      <x:c r="L33" s="92" t="str">
        <x:f>IFERROR(INDEX('8. Materiály'!$K$6:$K$56,MATCH(D33,'8. Materiály'!$A$6:$A$56,0)),"CHYBÍ")</x:f>
        <x:v>ODHAD</x:v>
      </x:c>
      <x:c r="M33" s="233" t="str">
        <x:f>IFERROR(INDEX('8. Materiály'!$I$6:$I$56,MATCH(D33,'8. Materiály'!$A$6:$A$56,0)),"")</x:f>
      </x:c>
    </x:row>
    <x:row r="34">
      <x:c r="A34" s="47" t="str">
        <x:v>DS_VF_01</x:v>
      </x:c>
      <x:c r="B34" s="47" t="str">
        <x:v>R0</x:v>
      </x:c>
      <x:c r="C34" s="47" t="str">
        <x:v>Vrstva 4</x:v>
      </x:c>
      <x:c r="D34" s="219" t="str">
        <x:v>MAT-023</x:v>
      </x:c>
      <x:c r="E34" s="47" t="str">
        <x:v>Vzduchová mezera</x:v>
      </x:c>
      <x:c r="F34" s="92" t="str">
        <x:f>IFERROR(INDEX('8. Materiály'!$B$6:$B$56,MATCH(D34,'8. Materiály'!$A$6:$A$56,0)),"")</x:f>
        <x:v>Akustická mezera 20 mm</x:v>
      </x:c>
      <x:c r="G34" s="231" t="n">
        <x:f>IFERROR(INDEX('8. Materiály'!$C$6:$C$56,MATCH(D34,'8. Materiály'!$A$6:$A$56,0)),"")</x:f>
        <x:v>20</x:v>
      </x:c>
      <x:c r="H34" s="92" t="str">
        <x:f>IFERROR(INDEX('8. Materiály'!$D$6:$D$56,MATCH(D34,'8. Materiály'!$A$6:$A$56,0)),"")</x:f>
        <x:v>m²</x:v>
      </x:c>
      <x:c r="I34" s="232" t="n">
        <x:v>1</x:v>
      </x:c>
      <x:c r="J34" s="90" t="n">
        <x:f>IFERROR(INDEX('8. Materiály'!$G$6:$G$56,MATCH(D34,'8. Materiály'!$A$6:$A$56,0)),0)</x:f>
        <x:v>35</x:v>
      </x:c>
      <x:c r="K34" s="59" t="n">
        <x:f>I34*J34</x:f>
        <x:v>35</x:v>
      </x:c>
      <x:c r="L34" s="92" t="str">
        <x:f>IFERROR(INDEX('8. Materiály'!$K$6:$K$56,MATCH(D34,'8. Materiály'!$A$6:$A$56,0)),"CHYBÍ")</x:f>
        <x:v>ODHAD</x:v>
      </x:c>
      <x:c r="M34" s="233" t="str">
        <x:f>IFERROR(INDEX('8. Materiály'!$I$6:$I$56,MATCH(D34,'8. Materiály'!$A$6:$A$56,0)),"")</x:f>
      </x:c>
    </x:row>
    <x:row r="35">
      <x:c r="A35" s="47" t="str">
        <x:v>DS_VF_01</x:v>
      </x:c>
      <x:c r="B35" s="47" t="str">
        <x:v>R0</x:v>
      </x:c>
      <x:c r="C35" s="47" t="str">
        <x:v>Vrstva 5</x:v>
      </x:c>
      <x:c r="D35" s="219" t="str">
        <x:v>MAT-021</x:v>
      </x:c>
      <x:c r="E35" s="47" t="str">
        <x:v>2. Nosný Rám</x:v>
      </x:c>
      <x:c r="F35" s="92" t="str">
        <x:f>IFERROR(INDEX('8. Materiály'!$B$6:$B$56,MATCH(D35,'8. Materiály'!$A$6:$A$56,0)),"")</x:f>
        <x:v>KVH hranol 100 mm</x:v>
      </x:c>
      <x:c r="G35" s="231" t="n">
        <x:f>IFERROR(INDEX('8. Materiály'!$C$6:$C$56,MATCH(D35,'8. Materiály'!$A$6:$A$56,0)),"")</x:f>
        <x:v>100</x:v>
      </x:c>
      <x:c r="H35" s="92" t="str">
        <x:f>IFERROR(INDEX('8. Materiály'!$D$6:$D$56,MATCH(D35,'8. Materiály'!$A$6:$A$56,0)),"")</x:f>
        <x:v>m³</x:v>
      </x:c>
      <x:c r="I35" s="232" t="n">
        <x:v>0.02</x:v>
      </x:c>
      <x:c r="J35" s="90" t="n">
        <x:f>IFERROR(INDEX('8. Materiály'!$G$6:$G$56,MATCH(D35,'8. Materiály'!$A$6:$A$56,0)),0)</x:f>
        <x:v>12500</x:v>
      </x:c>
      <x:c r="K35" s="59" t="n">
        <x:f>I35*J35</x:f>
        <x:v>250</x:v>
      </x:c>
      <x:c r="L35" s="92" t="str">
        <x:f>IFERROR(INDEX('8. Materiály'!$K$6:$K$56,MATCH(D35,'8. Materiály'!$A$6:$A$56,0)),"CHYBÍ")</x:f>
        <x:v>ODHAD</x:v>
      </x:c>
      <x:c r="M35" s="233" t="str">
        <x:f>IFERROR(INDEX('8. Materiály'!$I$6:$I$56,MATCH(D35,'8. Materiály'!$A$6:$A$56,0)),"")</x:f>
      </x:c>
    </x:row>
    <x:row r="36">
      <x:c r="A36" s="47" t="str">
        <x:v>DS_VF_01</x:v>
      </x:c>
      <x:c r="B36" s="47" t="str">
        <x:v>R0</x:v>
      </x:c>
      <x:c r="C36" s="47" t="str">
        <x:v>Vrstva 6</x:v>
      </x:c>
      <x:c r="D36" s="219" t="str">
        <x:v>MAT-022</x:v>
      </x:c>
      <x:c r="E36" s="47" t="str">
        <x:v>2. Akustická výplň</x:v>
      </x:c>
      <x:c r="F36" s="92" t="str">
        <x:f>IFERROR(INDEX('8. Materiály'!$B$6:$B$56,MATCH(D36,'8. Materiály'!$A$6:$A$56,0)),"")</x:f>
        <x:v>Isover Akustik 100 mm</x:v>
      </x:c>
      <x:c r="G36" s="231" t="n">
        <x:f>IFERROR(INDEX('8. Materiály'!$C$6:$C$56,MATCH(D36,'8. Materiály'!$A$6:$A$56,0)),"")</x:f>
        <x:v>100</x:v>
      </x:c>
      <x:c r="H36" s="92" t="str">
        <x:f>IFERROR(INDEX('8. Materiály'!$D$6:$D$56,MATCH(D36,'8. Materiály'!$A$6:$A$56,0)),"")</x:f>
        <x:v>m²</x:v>
      </x:c>
      <x:c r="I36" s="232" t="n">
        <x:v>1.02</x:v>
      </x:c>
      <x:c r="J36" s="90" t="n">
        <x:f>IFERROR(INDEX('8. Materiály'!$G$6:$G$56,MATCH(D36,'8. Materiály'!$A$6:$A$56,0)),0)</x:f>
        <x:v>210</x:v>
      </x:c>
      <x:c r="K36" s="59" t="n">
        <x:f>I36*J36</x:f>
        <x:v>214.20000000000002</x:v>
      </x:c>
      <x:c r="L36" s="92" t="str">
        <x:f>IFERROR(INDEX('8. Materiály'!$K$6:$K$56,MATCH(D36,'8. Materiály'!$A$6:$A$56,0)),"CHYBÍ")</x:f>
        <x:v>ODHAD</x:v>
      </x:c>
      <x:c r="M36" s="233" t="str">
        <x:f>IFERROR(INDEX('8. Materiály'!$I$6:$I$56,MATCH(D36,'8. Materiály'!$A$6:$A$56,0)),"")</x:f>
      </x:c>
    </x:row>
    <x:row r="37">
      <x:c r="A37" s="47" t="str">
        <x:v>DS_VF_01</x:v>
      </x:c>
      <x:c r="B37" s="47" t="str">
        <x:v>R0</x:v>
      </x:c>
      <x:c r="C37" s="47" t="str">
        <x:v>Vrstva 7</x:v>
      </x:c>
      <x:c r="D37" s="219" t="str">
        <x:v>MAT-001</x:v>
      </x:c>
      <x:c r="E37" s="47" t="str">
        <x:v>Vnější záklop Byty B</x:v>
      </x:c>
      <x:c r="F37" s="92" t="str">
        <x:f>IFERROR(INDEX('8. Materiály'!$B$6:$B$56,MATCH(D37,'8. Materiály'!$A$6:$A$56,0)),"")</x:f>
        <x:v>Fermacell 15 mm</x:v>
      </x:c>
      <x:c r="G37" s="231" t="n">
        <x:f>IFERROR(INDEX('8. Materiály'!$C$6:$C$56,MATCH(D37,'8. Materiály'!$A$6:$A$56,0)),"")</x:f>
        <x:v>15</x:v>
      </x:c>
      <x:c r="H37" s="92" t="str">
        <x:f>IFERROR(INDEX('8. Materiály'!$D$6:$D$56,MATCH(D37,'8. Materiály'!$A$6:$A$56,0)),"")</x:f>
        <x:v>m²</x:v>
      </x:c>
      <x:c r="I37" s="232" t="n">
        <x:v>1.05</x:v>
      </x:c>
      <x:c r="J37" s="90" t="n">
        <x:f>IFERROR(INDEX('8. Materiály'!$G$6:$G$56,MATCH(D37,'8. Materiály'!$A$6:$A$56,0)),0)</x:f>
        <x:v>280</x:v>
      </x:c>
      <x:c r="K37" s="59" t="n">
        <x:f>I37*J37</x:f>
        <x:v>294</x:v>
      </x:c>
      <x:c r="L37" s="92" t="str">
        <x:f>IFERROR(INDEX('8. Materiály'!$K$6:$K$56,MATCH(D37,'8. Materiály'!$A$6:$A$56,0)),"CHYBÍ")</x:f>
        <x:v>ODHAD</x:v>
      </x:c>
      <x:c r="M37" s="233" t="str">
        <x:f>IFERROR(INDEX('8. Materiály'!$I$6:$I$56,MATCH(D37,'8. Materiály'!$A$6:$A$56,0)),"")</x:f>
      </x:c>
    </x:row>
    <x:row r="38">
      <x:c r="A38" s="47" t="str">
        <x:v>PS_VF_01</x:v>
      </x:c>
      <x:c r="B38" s="47" t="str">
        <x:v>R0</x:v>
      </x:c>
      <x:c r="C38" s="47" t="str">
        <x:v>Vrstva 1</x:v>
      </x:c>
      <x:c r="D38" s="219" t="str">
        <x:v>MAT-024</x:v>
      </x:c>
      <x:c r="E38" s="47" t="str">
        <x:v>Záklop Strana A</x:v>
      </x:c>
      <x:c r="F38" s="92" t="str">
        <x:f>IFERROR(INDEX('8. Materiály'!$B$6:$B$56,MATCH(D38,'8. Materiály'!$A$6:$A$56,0)),"")</x:f>
        <x:v>Fermacell 12.5 mm</x:v>
      </x:c>
      <x:c r="G38" s="231" t="n">
        <x:f>IFERROR(INDEX('8. Materiály'!$C$6:$C$56,MATCH(D38,'8. Materiály'!$A$6:$A$56,0)),"")</x:f>
        <x:v>12.5</x:v>
      </x:c>
      <x:c r="H38" s="92" t="str">
        <x:f>IFERROR(INDEX('8. Materiály'!$D$6:$D$56,MATCH(D38,'8. Materiály'!$A$6:$A$56,0)),"")</x:f>
        <x:v>m²</x:v>
      </x:c>
      <x:c r="I38" s="232" t="n">
        <x:v>1.05</x:v>
      </x:c>
      <x:c r="J38" s="90" t="n">
        <x:f>IFERROR(INDEX('8. Materiály'!$G$6:$G$56,MATCH(D38,'8. Materiály'!$A$6:$A$56,0)),0)</x:f>
        <x:v>240</x:v>
      </x:c>
      <x:c r="K38" s="59" t="n">
        <x:f>I38*J38</x:f>
        <x:v>252</x:v>
      </x:c>
      <x:c r="L38" s="92" t="str">
        <x:f>IFERROR(INDEX('8. Materiály'!$K$6:$K$56,MATCH(D38,'8. Materiály'!$A$6:$A$56,0)),"CHYBÍ")</x:f>
        <x:v>ODHAD</x:v>
      </x:c>
      <x:c r="M38" s="233" t="str">
        <x:f>IFERROR(INDEX('8. Materiály'!$I$6:$I$56,MATCH(D38,'8. Materiály'!$A$6:$A$56,0)),"")</x:f>
      </x:c>
    </x:row>
    <x:row r="39">
      <x:c r="A39" s="47" t="str">
        <x:v>PS_VF_01</x:v>
      </x:c>
      <x:c r="B39" s="47" t="str">
        <x:v>R0</x:v>
      </x:c>
      <x:c r="C39" s="47" t="str">
        <x:v>Vrstva 2</x:v>
      </x:c>
      <x:c r="D39" s="219" t="str">
        <x:v>MAT-025</x:v>
      </x:c>
      <x:c r="E39" s="47" t="str">
        <x:v>Příčkový rám</x:v>
      </x:c>
      <x:c r="F39" s="92" t="str">
        <x:f>IFERROR(INDEX('8. Materiály'!$B$6:$B$56,MATCH(D39,'8. Materiály'!$A$6:$A$56,0)),"")</x:f>
        <x:v>KVH hranol 75 mm</x:v>
      </x:c>
      <x:c r="G39" s="231" t="n">
        <x:f>IFERROR(INDEX('8. Materiály'!$C$6:$C$56,MATCH(D39,'8. Materiály'!$A$6:$A$56,0)),"")</x:f>
        <x:v>75</x:v>
      </x:c>
      <x:c r="H39" s="92" t="str">
        <x:f>IFERROR(INDEX('8. Materiály'!$D$6:$D$56,MATCH(D39,'8. Materiály'!$A$6:$A$56,0)),"")</x:f>
        <x:v>m³</x:v>
      </x:c>
      <x:c r="I39" s="232" t="n">
        <x:v>0.015</x:v>
      </x:c>
      <x:c r="J39" s="90" t="n">
        <x:f>IFERROR(INDEX('8. Materiály'!$G$6:$G$56,MATCH(D39,'8. Materiály'!$A$6:$A$56,0)),0)</x:f>
        <x:v>12500</x:v>
      </x:c>
      <x:c r="K39" s="59" t="n">
        <x:f>I39*J39</x:f>
        <x:v>187.5</x:v>
      </x:c>
      <x:c r="L39" s="92" t="str">
        <x:f>IFERROR(INDEX('8. Materiály'!$K$6:$K$56,MATCH(D39,'8. Materiály'!$A$6:$A$56,0)),"CHYBÍ")</x:f>
        <x:v>ODHAD</x:v>
      </x:c>
      <x:c r="M39" s="233" t="str">
        <x:f>IFERROR(INDEX('8. Materiály'!$I$6:$I$56,MATCH(D39,'8. Materiály'!$A$6:$A$56,0)),"")</x:f>
      </x:c>
    </x:row>
    <x:row r="40">
      <x:c r="A40" s="47" t="str">
        <x:v>PS_VF_01</x:v>
      </x:c>
      <x:c r="B40" s="47" t="str">
        <x:v>R0</x:v>
      </x:c>
      <x:c r="C40" s="47" t="str">
        <x:v>Vrstva 3</x:v>
      </x:c>
      <x:c r="D40" s="219" t="str">
        <x:v>MAT-026</x:v>
      </x:c>
      <x:c r="E40" s="47" t="str">
        <x:v>Akustická izolace</x:v>
      </x:c>
      <x:c r="F40" s="92" t="str">
        <x:f>IFERROR(INDEX('8. Materiály'!$B$6:$B$56,MATCH(D40,'8. Materiály'!$A$6:$A$56,0)),"")</x:f>
        <x:v>Isover Akustik 75 mm</x:v>
      </x:c>
      <x:c r="G40" s="231" t="n">
        <x:f>IFERROR(INDEX('8. Materiály'!$C$6:$C$56,MATCH(D40,'8. Materiály'!$A$6:$A$56,0)),"")</x:f>
        <x:v>75</x:v>
      </x:c>
      <x:c r="H40" s="92" t="str">
        <x:f>IFERROR(INDEX('8. Materiály'!$D$6:$D$56,MATCH(D40,'8. Materiály'!$A$6:$A$56,0)),"")</x:f>
        <x:v>m²</x:v>
      </x:c>
      <x:c r="I40" s="232" t="n">
        <x:v>1.02</x:v>
      </x:c>
      <x:c r="J40" s="90" t="n">
        <x:f>IFERROR(INDEX('8. Materiály'!$G$6:$G$56,MATCH(D40,'8. Materiály'!$A$6:$A$56,0)),0)</x:f>
        <x:v>160</x:v>
      </x:c>
      <x:c r="K40" s="59" t="n">
        <x:f>I40*J40</x:f>
        <x:v>163.2</x:v>
      </x:c>
      <x:c r="L40" s="92" t="str">
        <x:f>IFERROR(INDEX('8. Materiály'!$K$6:$K$56,MATCH(D40,'8. Materiály'!$A$6:$A$56,0)),"CHYBÍ")</x:f>
        <x:v>ODHAD</x:v>
      </x:c>
      <x:c r="M40" s="233" t="str">
        <x:f>IFERROR(INDEX('8. Materiály'!$I$6:$I$56,MATCH(D40,'8. Materiály'!$A$6:$A$56,0)),"")</x:f>
      </x:c>
    </x:row>
    <x:row r="41">
      <x:c r="A41" s="47" t="str">
        <x:v>PS_VF_01</x:v>
      </x:c>
      <x:c r="B41" s="47" t="str">
        <x:v>R0</x:v>
      </x:c>
      <x:c r="C41" s="47" t="str">
        <x:v>Vrstva 4</x:v>
      </x:c>
      <x:c r="D41" s="219" t="str">
        <x:v>MAT-024</x:v>
      </x:c>
      <x:c r="E41" s="47" t="str">
        <x:v>Záklop Strana B</x:v>
      </x:c>
      <x:c r="F41" s="92" t="str">
        <x:f>IFERROR(INDEX('8. Materiály'!$B$6:$B$56,MATCH(D41,'8. Materiály'!$A$6:$A$56,0)),"")</x:f>
        <x:v>Fermacell 12.5 mm</x:v>
      </x:c>
      <x:c r="G41" s="231" t="n">
        <x:f>IFERROR(INDEX('8. Materiály'!$C$6:$C$56,MATCH(D41,'8. Materiály'!$A$6:$A$56,0)),"")</x:f>
        <x:v>12.5</x:v>
      </x:c>
      <x:c r="H41" s="92" t="str">
        <x:f>IFERROR(INDEX('8. Materiály'!$D$6:$D$56,MATCH(D41,'8. Materiály'!$A$6:$A$56,0)),"")</x:f>
        <x:v>m²</x:v>
      </x:c>
      <x:c r="I41" s="232" t="n">
        <x:v>1.05</x:v>
      </x:c>
      <x:c r="J41" s="90" t="n">
        <x:f>IFERROR(INDEX('8. Materiály'!$G$6:$G$56,MATCH(D41,'8. Materiály'!$A$6:$A$56,0)),0)</x:f>
        <x:v>240</x:v>
      </x:c>
      <x:c r="K41" s="59" t="n">
        <x:f>I41*J41</x:f>
        <x:v>252</x:v>
      </x:c>
      <x:c r="L41" s="92" t="str">
        <x:f>IFERROR(INDEX('8. Materiály'!$K$6:$K$56,MATCH(D41,'8. Materiály'!$A$6:$A$56,0)),"CHYBÍ")</x:f>
        <x:v>ODHAD</x:v>
      </x:c>
      <x:c r="M41" s="233" t="str">
        <x:f>IFERROR(INDEX('8. Materiály'!$I$6:$I$56,MATCH(D41,'8. Materiály'!$A$6:$A$56,0)),"")</x:f>
      </x:c>
    </x:row>
    <x:row r="42">
      <x:c r="A42" s="47" t="str">
        <x:v>STROP_RD</x:v>
      </x:c>
      <x:c r="B42" s="47" t="str">
        <x:v>R0</x:v>
      </x:c>
      <x:c r="C42" s="47" t="str">
        <x:v>Vrstva 1</x:v>
      </x:c>
      <x:c r="D42" s="219" t="str">
        <x:v>MAT-001</x:v>
      </x:c>
      <x:c r="E42" s="47" t="str">
        <x:v>Podhledový záklop</x:v>
      </x:c>
      <x:c r="F42" s="92" t="str">
        <x:f>IFERROR(INDEX('8. Materiály'!$B$6:$B$56,MATCH(D42,'8. Materiály'!$A$6:$A$56,0)),"")</x:f>
        <x:v>Fermacell 15 mm</x:v>
      </x:c>
      <x:c r="G42" s="231" t="n">
        <x:f>IFERROR(INDEX('8. Materiály'!$C$6:$C$56,MATCH(D42,'8. Materiály'!$A$6:$A$56,0)),"")</x:f>
        <x:v>15</x:v>
      </x:c>
      <x:c r="H42" s="92" t="str">
        <x:f>IFERROR(INDEX('8. Materiály'!$D$6:$D$56,MATCH(D42,'8. Materiály'!$A$6:$A$56,0)),"")</x:f>
        <x:v>m²</x:v>
      </x:c>
      <x:c r="I42" s="232" t="n">
        <x:v>1.05</x:v>
      </x:c>
      <x:c r="J42" s="90" t="n">
        <x:f>IFERROR(INDEX('8. Materiály'!$G$6:$G$56,MATCH(D42,'8. Materiály'!$A$6:$A$56,0)),0)</x:f>
        <x:v>280</x:v>
      </x:c>
      <x:c r="K42" s="59" t="n">
        <x:f>I42*J42</x:f>
        <x:v>294</x:v>
      </x:c>
      <x:c r="L42" s="92" t="str">
        <x:f>IFERROR(INDEX('8. Materiály'!$K$6:$K$56,MATCH(D42,'8. Materiály'!$A$6:$A$56,0)),"CHYBÍ")</x:f>
        <x:v>ODHAD</x:v>
      </x:c>
      <x:c r="M42" s="233" t="str">
        <x:f>IFERROR(INDEX('8. Materiály'!$I$6:$I$56,MATCH(D42,'8. Materiály'!$A$6:$A$56,0)),"")</x:f>
      </x:c>
    </x:row>
    <x:row r="43">
      <x:c r="A43" s="47" t="str">
        <x:v>STROP_RD</x:v>
      </x:c>
      <x:c r="B43" s="47" t="str">
        <x:v>R0</x:v>
      </x:c>
      <x:c r="C43" s="47" t="str">
        <x:v>Vrstva 2</x:v>
      </x:c>
      <x:c r="D43" s="219" t="str">
        <x:v>MAT-027</x:v>
      </x:c>
      <x:c r="E43" s="47" t="str">
        <x:v>Akustický rošt</x:v>
      </x:c>
      <x:c r="F43" s="92" t="str">
        <x:f>IFERROR(INDEX('8. Materiály'!$B$6:$B$56,MATCH(D43,'8. Materiály'!$A$6:$A$56,0)),"")</x:f>
        <x:v>Dřevěné laťování 40 mm + pružné závěsy</x:v>
      </x:c>
      <x:c r="G43" s="231" t="n">
        <x:f>IFERROR(INDEX('8. Materiály'!$C$6:$C$56,MATCH(D43,'8. Materiály'!$A$6:$A$56,0)),"")</x:f>
        <x:v>40</x:v>
      </x:c>
      <x:c r="H43" s="92" t="str">
        <x:f>IFERROR(INDEX('8. Materiály'!$D$6:$D$56,MATCH(D43,'8. Materiály'!$A$6:$A$56,0)),"")</x:f>
        <x:v>m²</x:v>
      </x:c>
      <x:c r="I43" s="232" t="n">
        <x:v>1</x:v>
      </x:c>
      <x:c r="J43" s="90" t="n">
        <x:f>IFERROR(INDEX('8. Materiály'!$G$6:$G$56,MATCH(D43,'8. Materiály'!$A$6:$A$56,0)),0)</x:f>
        <x:v>180</x:v>
      </x:c>
      <x:c r="K43" s="59" t="n">
        <x:f>I43*J43</x:f>
        <x:v>180</x:v>
      </x:c>
      <x:c r="L43" s="92" t="str">
        <x:f>IFERROR(INDEX('8. Materiály'!$K$6:$K$56,MATCH(D43,'8. Materiály'!$A$6:$A$56,0)),"CHYBÍ")</x:f>
        <x:v>ODHAD</x:v>
      </x:c>
      <x:c r="M43" s="233" t="str">
        <x:f>IFERROR(INDEX('8. Materiály'!$I$6:$I$56,MATCH(D43,'8. Materiály'!$A$6:$A$56,0)),"")</x:f>
      </x:c>
    </x:row>
    <x:row r="44">
      <x:c r="A44" s="47" t="str">
        <x:v>STROP_RD</x:v>
      </x:c>
      <x:c r="B44" s="47" t="str">
        <x:v>R0</x:v>
      </x:c>
      <x:c r="C44" s="47" t="str">
        <x:v>Vrstva 3</x:v>
      </x:c>
      <x:c r="D44" s="219" t="str">
        <x:v>MAT-028</x:v>
      </x:c>
      <x:c r="E44" s="47" t="str">
        <x:v>Nosné trámy</x:v>
      </x:c>
      <x:c r="F44" s="92" t="str">
        <x:f>IFERROR(INDEX('8. Materiály'!$B$6:$B$56,MATCH(D44,'8. Materiály'!$A$6:$A$56,0)),"")</x:f>
        <x:v>KVH / I-nosníky 240 mm</x:v>
      </x:c>
      <x:c r="G44" s="231" t="n">
        <x:f>IFERROR(INDEX('8. Materiály'!$C$6:$C$56,MATCH(D44,'8. Materiály'!$A$6:$A$56,0)),"")</x:f>
        <x:v>240</x:v>
      </x:c>
      <x:c r="H44" s="92" t="str">
        <x:f>IFERROR(INDEX('8. Materiály'!$D$6:$D$56,MATCH(D44,'8. Materiály'!$A$6:$A$56,0)),"")</x:f>
        <x:v>m³</x:v>
      </x:c>
      <x:c r="I44" s="232" t="n">
        <x:v>0.038</x:v>
      </x:c>
      <x:c r="J44" s="90" t="n">
        <x:f>IFERROR(INDEX('8. Materiály'!$G$6:$G$56,MATCH(D44,'8. Materiály'!$A$6:$A$56,0)),0)</x:f>
        <x:v>14500</x:v>
      </x:c>
      <x:c r="K44" s="59" t="n">
        <x:f>I44*J44</x:f>
        <x:v>551</x:v>
      </x:c>
      <x:c r="L44" s="92" t="str">
        <x:f>IFERROR(INDEX('8. Materiály'!$K$6:$K$56,MATCH(D44,'8. Materiály'!$A$6:$A$56,0)),"CHYBÍ")</x:f>
        <x:v>ODHAD</x:v>
      </x:c>
      <x:c r="M44" s="233" t="str">
        <x:f>IFERROR(INDEX('8. Materiály'!$I$6:$I$56,MATCH(D44,'8. Materiály'!$A$6:$A$56,0)),"")</x:f>
      </x:c>
    </x:row>
    <x:row r="45">
      <x:c r="A45" s="47" t="str">
        <x:v>STROP_RD</x:v>
      </x:c>
      <x:c r="B45" s="47" t="str">
        <x:v>R0</x:v>
      </x:c>
      <x:c r="C45" s="47" t="str">
        <x:v>Vrstva 4</x:v>
      </x:c>
      <x:c r="D45" s="219" t="str">
        <x:v>MAT-029</x:v>
      </x:c>
      <x:c r="E45" s="47" t="str">
        <x:v>Akustická izolace</x:v>
      </x:c>
      <x:c r="F45" s="92" t="str">
        <x:f>IFERROR(INDEX('8. Materiály'!$B$6:$B$56,MATCH(D45,'8. Materiály'!$A$6:$A$56,0)),"")</x:f>
        <x:v>Isover Piano 140 mm</x:v>
      </x:c>
      <x:c r="G45" s="231" t="n">
        <x:f>IFERROR(INDEX('8. Materiály'!$C$6:$C$56,MATCH(D45,'8. Materiály'!$A$6:$A$56,0)),"")</x:f>
        <x:v>140</x:v>
      </x:c>
      <x:c r="H45" s="92" t="str">
        <x:f>IFERROR(INDEX('8. Materiály'!$D$6:$D$56,MATCH(D45,'8. Materiály'!$A$6:$A$56,0)),"")</x:f>
        <x:v>m²</x:v>
      </x:c>
      <x:c r="I45" s="232" t="n">
        <x:v>1.02</x:v>
      </x:c>
      <x:c r="J45" s="90" t="n">
        <x:f>IFERROR(INDEX('8. Materiály'!$G$6:$G$56,MATCH(D45,'8. Materiály'!$A$6:$A$56,0)),0)</x:f>
        <x:v>260</x:v>
      </x:c>
      <x:c r="K45" s="59" t="n">
        <x:f>I45*J45</x:f>
        <x:v>265.2</x:v>
      </x:c>
      <x:c r="L45" s="92" t="str">
        <x:f>IFERROR(INDEX('8. Materiály'!$K$6:$K$56,MATCH(D45,'8. Materiály'!$A$6:$A$56,0)),"CHYBÍ")</x:f>
        <x:v>ODHAD</x:v>
      </x:c>
      <x:c r="M45" s="233" t="str">
        <x:f>IFERROR(INDEX('8. Materiály'!$I$6:$I$56,MATCH(D45,'8. Materiály'!$A$6:$A$56,0)),"")</x:f>
      </x:c>
    </x:row>
    <x:row r="46">
      <x:c r="A46" s="47" t="str">
        <x:v>STROP_RD</x:v>
      </x:c>
      <x:c r="B46" s="47" t="str">
        <x:v>R0</x:v>
      </x:c>
      <x:c r="C46" s="47" t="str">
        <x:v>Vrstva 5</x:v>
      </x:c>
      <x:c r="D46" s="219" t="str">
        <x:v>MAT-030</x:v>
      </x:c>
      <x:c r="E46" s="47" t="str">
        <x:v>Kročejová deska</x:v>
      </x:c>
      <x:c r="F46" s="92" t="str">
        <x:f>IFERROR(INDEX('8. Materiály'!$B$6:$B$56,MATCH(D46,'8. Materiály'!$A$6:$A$56,0)),"")</x:f>
        <x:v>Rigips Isover T-N 60 mm</x:v>
      </x:c>
      <x:c r="G46" s="231" t="n">
        <x:f>IFERROR(INDEX('8. Materiály'!$C$6:$C$56,MATCH(D46,'8. Materiály'!$A$6:$A$56,0)),"")</x:f>
        <x:v>60</x:v>
      </x:c>
      <x:c r="H46" s="92" t="str">
        <x:f>IFERROR(INDEX('8. Materiály'!$D$6:$D$56,MATCH(D46,'8. Materiály'!$A$6:$A$56,0)),"")</x:f>
        <x:v>m²</x:v>
      </x:c>
      <x:c r="I46" s="232" t="n">
        <x:v>1.02</x:v>
      </x:c>
      <x:c r="J46" s="90" t="n">
        <x:f>IFERROR(INDEX('8. Materiály'!$G$6:$G$56,MATCH(D46,'8. Materiály'!$A$6:$A$56,0)),0)</x:f>
        <x:v>290</x:v>
      </x:c>
      <x:c r="K46" s="59" t="n">
        <x:f>I46*J46</x:f>
        <x:v>295.8</x:v>
      </x:c>
      <x:c r="L46" s="92" t="str">
        <x:f>IFERROR(INDEX('8. Materiály'!$K$6:$K$56,MATCH(D46,'8. Materiály'!$A$6:$A$56,0)),"CHYBÍ")</x:f>
        <x:v>ODHAD</x:v>
      </x:c>
      <x:c r="M46" s="233" t="str">
        <x:f>IFERROR(INDEX('8. Materiály'!$I$6:$I$56,MATCH(D46,'8. Materiály'!$A$6:$A$56,0)),"")</x:f>
      </x:c>
    </x:row>
    <x:row r="47">
      <x:c r="A47" s="47" t="str">
        <x:v>STROP_RD</x:v>
      </x:c>
      <x:c r="B47" s="47" t="str">
        <x:v>R0</x:v>
      </x:c>
      <x:c r="C47" s="47" t="str">
        <x:v>Vrstva 6</x:v>
      </x:c>
      <x:c r="D47" s="219" t="str">
        <x:v>MAT-031</x:v>
      </x:c>
      <x:c r="E47" s="47" t="str">
        <x:v>Roznášecí záklop</x:v>
      </x:c>
      <x:c r="F47" s="92" t="str">
        <x:f>IFERROR(INDEX('8. Materiály'!$B$6:$B$56,MATCH(D47,'8. Materiály'!$A$6:$A$56,0)),"")</x:f>
        <x:v>OSB 3 deska N+D 22 mm</x:v>
      </x:c>
      <x:c r="G47" s="231" t="n">
        <x:f>IFERROR(INDEX('8. Materiály'!$C$6:$C$56,MATCH(D47,'8. Materiály'!$A$6:$A$56,0)),"")</x:f>
        <x:v>22</x:v>
      </x:c>
      <x:c r="H47" s="92" t="str">
        <x:f>IFERROR(INDEX('8. Materiály'!$D$6:$D$56,MATCH(D47,'8. Materiály'!$A$6:$A$56,0)),"")</x:f>
        <x:v>m²</x:v>
      </x:c>
      <x:c r="I47" s="232" t="n">
        <x:v>1.05</x:v>
      </x:c>
      <x:c r="J47" s="90" t="n">
        <x:f>IFERROR(INDEX('8. Materiály'!$G$6:$G$56,MATCH(D47,'8. Materiály'!$A$6:$A$56,0)),0)</x:f>
        <x:v>340</x:v>
      </x:c>
      <x:c r="K47" s="59" t="n">
        <x:f>I47*J47</x:f>
        <x:v>357</x:v>
      </x:c>
      <x:c r="L47" s="92" t="str">
        <x:f>IFERROR(INDEX('8. Materiály'!$K$6:$K$56,MATCH(D47,'8. Materiály'!$A$6:$A$56,0)),"CHYBÍ")</x:f>
        <x:v>ODHAD</x:v>
      </x:c>
      <x:c r="M47" s="233" t="str">
        <x:f>IFERROR(INDEX('8. Materiály'!$I$6:$I$56,MATCH(D47,'8. Materiály'!$A$6:$A$56,0)),"")</x:f>
      </x:c>
    </x:row>
    <x:row r="48">
      <x:c r="A48" s="47" t="str">
        <x:v>STROP_BD</x:v>
      </x:c>
      <x:c r="B48" s="47" t="str">
        <x:v>R0</x:v>
      </x:c>
      <x:c r="C48" s="47" t="str">
        <x:v>Vrstva 1</x:v>
      </x:c>
      <x:c r="D48" s="219" t="str">
        <x:v>MAT-032</x:v>
      </x:c>
      <x:c r="E48" s="47" t="str">
        <x:v>Podhledový záklop</x:v>
      </x:c>
      <x:c r="F48" s="92" t="str">
        <x:f>IFERROR(INDEX('8. Materiály'!$B$6:$B$56,MATCH(D48,'8. Materiály'!$A$6:$A$56,0)),"")</x:f>
        <x:v>2× Fermacell 12.5 mm</x:v>
      </x:c>
      <x:c r="G48" s="231" t="n">
        <x:f>IFERROR(INDEX('8. Materiály'!$C$6:$C$56,MATCH(D48,'8. Materiály'!$A$6:$A$56,0)),"")</x:f>
        <x:v>25</x:v>
      </x:c>
      <x:c r="H48" s="92" t="str">
        <x:f>IFERROR(INDEX('8. Materiály'!$D$6:$D$56,MATCH(D48,'8. Materiály'!$A$6:$A$56,0)),"")</x:f>
        <x:v>m²</x:v>
      </x:c>
      <x:c r="I48" s="232" t="n">
        <x:v>1.05</x:v>
      </x:c>
      <x:c r="J48" s="90" t="n">
        <x:f>IFERROR(INDEX('8. Materiály'!$G$6:$G$56,MATCH(D48,'8. Materiály'!$A$6:$A$56,0)),0)</x:f>
        <x:v>480</x:v>
      </x:c>
      <x:c r="K48" s="59" t="n">
        <x:f>I48*J48</x:f>
        <x:v>504</x:v>
      </x:c>
      <x:c r="L48" s="92" t="str">
        <x:f>IFERROR(INDEX('8. Materiály'!$K$6:$K$56,MATCH(D48,'8. Materiály'!$A$6:$A$56,0)),"CHYBÍ")</x:f>
        <x:v>ODHAD</x:v>
      </x:c>
      <x:c r="M48" s="233" t="str">
        <x:f>IFERROR(INDEX('8. Materiály'!$I$6:$I$56,MATCH(D48,'8. Materiály'!$A$6:$A$56,0)),"")</x:f>
      </x:c>
    </x:row>
    <x:row r="49">
      <x:c r="A49" s="47" t="str">
        <x:v>STROP_BD</x:v>
      </x:c>
      <x:c r="B49" s="47" t="str">
        <x:v>R0</x:v>
      </x:c>
      <x:c r="C49" s="47" t="str">
        <x:v>Vrstva 2</x:v>
      </x:c>
      <x:c r="D49" s="219" t="str">
        <x:v>MAT-033</x:v>
      </x:c>
      <x:c r="E49" s="47" t="str">
        <x:v>Akustické závěsy</x:v>
      </x:c>
      <x:c r="F49" s="92" t="str">
        <x:f>IFERROR(INDEX('8. Materiály'!$B$6:$B$56,MATCH(D49,'8. Materiály'!$A$6:$A$56,0)),"")</x:f>
        <x:v>Vibroizolační profily Senor</x:v>
      </x:c>
      <x:c r="G49" s="231" t="n">
        <x:f>IFERROR(INDEX('8. Materiály'!$C$6:$C$56,MATCH(D49,'8. Materiály'!$A$6:$A$56,0)),"")</x:f>
        <x:v>40</x:v>
      </x:c>
      <x:c r="H49" s="92" t="str">
        <x:f>IFERROR(INDEX('8. Materiály'!$D$6:$D$56,MATCH(D49,'8. Materiály'!$A$6:$A$56,0)),"")</x:f>
        <x:v>m²</x:v>
      </x:c>
      <x:c r="I49" s="232" t="n">
        <x:v>1</x:v>
      </x:c>
      <x:c r="J49" s="90" t="n">
        <x:f>IFERROR(INDEX('8. Materiály'!$G$6:$G$56,MATCH(D49,'8. Materiály'!$A$6:$A$56,0)),0)</x:f>
        <x:v>390</x:v>
      </x:c>
      <x:c r="K49" s="59" t="n">
        <x:f>I49*J49</x:f>
        <x:v>390</x:v>
      </x:c>
      <x:c r="L49" s="92" t="str">
        <x:f>IFERROR(INDEX('8. Materiály'!$K$6:$K$56,MATCH(D49,'8. Materiály'!$A$6:$A$56,0)),"CHYBÍ")</x:f>
        <x:v>ODHAD</x:v>
      </x:c>
      <x:c r="M49" s="233" t="str">
        <x:f>IFERROR(INDEX('8. Materiály'!$I$6:$I$56,MATCH(D49,'8. Materiály'!$A$6:$A$56,0)),"")</x:f>
      </x:c>
    </x:row>
    <x:row r="50">
      <x:c r="A50" s="47" t="str">
        <x:v>STROP_BD</x:v>
      </x:c>
      <x:c r="B50" s="47" t="str">
        <x:v>R0</x:v>
      </x:c>
      <x:c r="C50" s="47" t="str">
        <x:v>Vrstva 3</x:v>
      </x:c>
      <x:c r="D50" s="219" t="str">
        <x:v>MAT-034</x:v>
      </x:c>
      <x:c r="E50" s="47" t="str">
        <x:v>Těžký akustický Zásyp</x:v>
      </x:c>
      <x:c r="F50" s="92" t="str">
        <x:f>IFERROR(INDEX('8. Materiály'!$B$6:$B$56,MATCH(D50,'8. Materiály'!$A$6:$A$56,0)),"")</x:f>
        <x:v>Fermacell Voštinový zásyp 60 mm</x:v>
      </x:c>
      <x:c r="G50" s="231" t="n">
        <x:f>IFERROR(INDEX('8. Materiály'!$C$6:$C$56,MATCH(D50,'8. Materiály'!$A$6:$A$56,0)),"")</x:f>
        <x:v>60</x:v>
      </x:c>
      <x:c r="H50" s="92" t="str">
        <x:f>IFERROR(INDEX('8. Materiály'!$D$6:$D$56,MATCH(D50,'8. Materiály'!$A$6:$A$56,0)),"")</x:f>
        <x:v>m²</x:v>
      </x:c>
      <x:c r="I50" s="232" t="n">
        <x:v>1</x:v>
      </x:c>
      <x:c r="J50" s="90" t="n">
        <x:f>IFERROR(INDEX('8. Materiály'!$G$6:$G$56,MATCH(D50,'8. Materiály'!$A$6:$A$56,0)),0)</x:f>
        <x:v>780</x:v>
      </x:c>
      <x:c r="K50" s="59" t="n">
        <x:f>I50*J50</x:f>
        <x:v>780</x:v>
      </x:c>
      <x:c r="L50" s="92" t="str">
        <x:f>IFERROR(INDEX('8. Materiály'!$K$6:$K$56,MATCH(D50,'8. Materiály'!$A$6:$A$56,0)),"CHYBÍ")</x:f>
        <x:v>ODHAD</x:v>
      </x:c>
      <x:c r="M50" s="233" t="str">
        <x:f>IFERROR(INDEX('8. Materiály'!$I$6:$I$56,MATCH(D50,'8. Materiály'!$A$6:$A$56,0)),"")</x:f>
      </x:c>
    </x:row>
    <x:row r="51">
      <x:c r="A51" s="47" t="str">
        <x:v>STROP_BD</x:v>
      </x:c>
      <x:c r="B51" s="47" t="str">
        <x:v>R0</x:v>
      </x:c>
      <x:c r="C51" s="47" t="str">
        <x:v>Vrstva 4</x:v>
      </x:c>
      <x:c r="D51" s="219" t="str">
        <x:v>MAT-035</x:v>
      </x:c>
      <x:c r="E51" s="47" t="str">
        <x:v>Stropní I-nosníky</x:v>
      </x:c>
      <x:c r="F51" s="92" t="str">
        <x:f>IFERROR(INDEX('8. Materiály'!$B$6:$B$56,MATCH(D51,'8. Materiály'!$A$6:$A$56,0)),"")</x:f>
        <x:v>Dřevěné I-nosníky 240 mm</x:v>
      </x:c>
      <x:c r="G51" s="231" t="n">
        <x:f>IFERROR(INDEX('8. Materiály'!$C$6:$C$56,MATCH(D51,'8. Materiály'!$A$6:$A$56,0)),"")</x:f>
        <x:v>240</x:v>
      </x:c>
      <x:c r="H51" s="92" t="str">
        <x:f>IFERROR(INDEX('8. Materiály'!$D$6:$D$56,MATCH(D51,'8. Materiály'!$A$6:$A$56,0)),"")</x:f>
        <x:v>m³</x:v>
      </x:c>
      <x:c r="I51" s="232" t="n">
        <x:v>0.04</x:v>
      </x:c>
      <x:c r="J51" s="90" t="n">
        <x:f>IFERROR(INDEX('8. Materiály'!$G$6:$G$56,MATCH(D51,'8. Materiály'!$A$6:$A$56,0)),0)</x:f>
        <x:v>14500</x:v>
      </x:c>
      <x:c r="K51" s="59" t="n">
        <x:f>I51*J51</x:f>
        <x:v>580</x:v>
      </x:c>
      <x:c r="L51" s="92" t="str">
        <x:f>IFERROR(INDEX('8. Materiály'!$K$6:$K$56,MATCH(D51,'8. Materiály'!$A$6:$A$56,0)),"CHYBÍ")</x:f>
        <x:v>ODHAD</x:v>
      </x:c>
      <x:c r="M51" s="233" t="str">
        <x:f>IFERROR(INDEX('8. Materiály'!$I$6:$I$56,MATCH(D51,'8. Materiály'!$A$6:$A$56,0)),"")</x:f>
      </x:c>
    </x:row>
    <x:row r="52">
      <x:c r="A52" s="47" t="str">
        <x:v>STROP_BD</x:v>
      </x:c>
      <x:c r="B52" s="47" t="str">
        <x:v>R0</x:v>
      </x:c>
      <x:c r="C52" s="47" t="str">
        <x:v>Vrstva 5</x:v>
      </x:c>
      <x:c r="D52" s="219" t="str">
        <x:v>MAT-036</x:v>
      </x:c>
      <x:c r="E52" s="47" t="str">
        <x:v>Vzduchová akustická vata</x:v>
      </x:c>
      <x:c r="F52" s="92" t="str">
        <x:f>IFERROR(INDEX('8. Materiály'!$B$6:$B$56,MATCH(D52,'8. Materiály'!$A$6:$A$56,0)),"")</x:f>
        <x:v>Isover Akustik 140 mm</x:v>
      </x:c>
      <x:c r="G52" s="231" t="n">
        <x:f>IFERROR(INDEX('8. Materiály'!$C$6:$C$56,MATCH(D52,'8. Materiály'!$A$6:$A$56,0)),"")</x:f>
        <x:v>140</x:v>
      </x:c>
      <x:c r="H52" s="92" t="str">
        <x:f>IFERROR(INDEX('8. Materiály'!$D$6:$D$56,MATCH(D52,'8. Materiály'!$A$6:$A$56,0)),"")</x:f>
        <x:v>m²</x:v>
      </x:c>
      <x:c r="I52" s="232" t="n">
        <x:v>1.02</x:v>
      </x:c>
      <x:c r="J52" s="90" t="n">
        <x:f>IFERROR(INDEX('8. Materiály'!$G$6:$G$56,MATCH(D52,'8. Materiály'!$A$6:$A$56,0)),0)</x:f>
        <x:v>260</x:v>
      </x:c>
      <x:c r="K52" s="59" t="n">
        <x:f>I52*J52</x:f>
        <x:v>265.2</x:v>
      </x:c>
      <x:c r="L52" s="92" t="str">
        <x:f>IFERROR(INDEX('8. Materiály'!$K$6:$K$56,MATCH(D52,'8. Materiály'!$A$6:$A$56,0)),"CHYBÍ")</x:f>
        <x:v>ODHAD</x:v>
      </x:c>
      <x:c r="M52" s="233" t="str">
        <x:f>IFERROR(INDEX('8. Materiály'!$I$6:$I$56,MATCH(D52,'8. Materiály'!$A$6:$A$56,0)),"")</x:f>
      </x:c>
    </x:row>
    <x:row r="53">
      <x:c r="A53" s="47" t="str">
        <x:v>STROP_BD</x:v>
      </x:c>
      <x:c r="B53" s="47" t="str">
        <x:v>R0</x:v>
      </x:c>
      <x:c r="C53" s="47" t="str">
        <x:v>Vrstva 6</x:v>
      </x:c>
      <x:c r="D53" s="219" t="str">
        <x:v>MAT-037</x:v>
      </x:c>
      <x:c r="E53" s="47" t="str">
        <x:v>Kročejová deska</x:v>
      </x:c>
      <x:c r="F53" s="92" t="str">
        <x:f>IFERROR(INDEX('8. Materiály'!$B$6:$B$56,MATCH(D53,'8. Materiály'!$A$6:$A$56,0)),"")</x:f>
        <x:v>Isover Floor 60 mm</x:v>
      </x:c>
      <x:c r="G53" s="231" t="n">
        <x:f>IFERROR(INDEX('8. Materiály'!$C$6:$C$56,MATCH(D53,'8. Materiály'!$A$6:$A$56,0)),"")</x:f>
        <x:v>60</x:v>
      </x:c>
      <x:c r="H53" s="92" t="str">
        <x:f>IFERROR(INDEX('8. Materiály'!$D$6:$D$56,MATCH(D53,'8. Materiály'!$A$6:$A$56,0)),"")</x:f>
        <x:v>m²</x:v>
      </x:c>
      <x:c r="I53" s="232" t="n">
        <x:v>1.02</x:v>
      </x:c>
      <x:c r="J53" s="90" t="n">
        <x:f>IFERROR(INDEX('8. Materiály'!$G$6:$G$56,MATCH(D53,'8. Materiály'!$A$6:$A$56,0)),0)</x:f>
        <x:v>320</x:v>
      </x:c>
      <x:c r="K53" s="59" t="n">
        <x:f>I53*J53</x:f>
        <x:v>326.4</x:v>
      </x:c>
      <x:c r="L53" s="92" t="str">
        <x:f>IFERROR(INDEX('8. Materiály'!$K$6:$K$56,MATCH(D53,'8. Materiály'!$A$6:$A$56,0)),"CHYBÍ")</x:f>
        <x:v>ODHAD</x:v>
      </x:c>
      <x:c r="M53" s="233" t="str">
        <x:f>IFERROR(INDEX('8. Materiály'!$I$6:$I$56,MATCH(D53,'8. Materiály'!$A$6:$A$56,0)),"")</x:f>
      </x:c>
    </x:row>
    <x:row r="54">
      <x:c r="A54" s="47" t="str">
        <x:v>STROP_BD</x:v>
      </x:c>
      <x:c r="B54" s="47" t="str">
        <x:v>R0</x:v>
      </x:c>
      <x:c r="C54" s="47" t="str">
        <x:v>Vrstva 7</x:v>
      </x:c>
      <x:c r="D54" s="219" t="str">
        <x:v>MAT-038</x:v>
      </x:c>
      <x:c r="E54" s="47" t="str">
        <x:v>Tuhý podlahový prvek</x:v>
      </x:c>
      <x:c r="F54" s="92" t="str">
        <x:f>IFERROR(INDEX('8. Materiály'!$B$6:$B$56,MATCH(D54,'8. Materiály'!$A$6:$A$56,0)),"")</x:f>
        <x:v>Fermacell E22 mm</x:v>
      </x:c>
      <x:c r="G54" s="231" t="n">
        <x:f>IFERROR(INDEX('8. Materiály'!$C$6:$C$56,MATCH(D54,'8. Materiály'!$A$6:$A$56,0)),"")</x:f>
        <x:v>22</x:v>
      </x:c>
      <x:c r="H54" s="92" t="str">
        <x:f>IFERROR(INDEX('8. Materiály'!$D$6:$D$56,MATCH(D54,'8. Materiály'!$A$6:$A$56,0)),"")</x:f>
        <x:v>m²</x:v>
      </x:c>
      <x:c r="I54" s="232" t="n">
        <x:v>1.05</x:v>
      </x:c>
      <x:c r="J54" s="90" t="n">
        <x:f>IFERROR(INDEX('8. Materiály'!$G$6:$G$56,MATCH(D54,'8. Materiály'!$A$6:$A$56,0)),0)</x:f>
        <x:v>590</x:v>
      </x:c>
      <x:c r="K54" s="59" t="n">
        <x:f>I54*J54</x:f>
        <x:v>619.5</x:v>
      </x:c>
      <x:c r="L54" s="92" t="str">
        <x:f>IFERROR(INDEX('8. Materiály'!$K$6:$K$56,MATCH(D54,'8. Materiály'!$A$6:$A$56,0)),"CHYBÍ")</x:f>
        <x:v>ODHAD</x:v>
      </x:c>
      <x:c r="M54" s="233" t="str">
        <x:f>IFERROR(INDEX('8. Materiály'!$I$6:$I$56,MATCH(D54,'8. Materiály'!$A$6:$A$56,0)),"")</x:f>
      </x:c>
    </x:row>
    <x:row r="55">
      <x:c r="A55" s="47" t="str">
        <x:v>STRECHA_SIKMA</x:v>
      </x:c>
      <x:c r="B55" s="47" t="str">
        <x:v>R0</x:v>
      </x:c>
      <x:c r="C55" s="47" t="str">
        <x:v>Vrstva 1</x:v>
      </x:c>
      <x:c r="D55" s="219" t="str">
        <x:v>MAT-001</x:v>
      </x:c>
      <x:c r="E55" s="47" t="str">
        <x:v>Podhledový záklop</x:v>
      </x:c>
      <x:c r="F55" s="92" t="str">
        <x:f>IFERROR(INDEX('8. Materiály'!$B$6:$B$56,MATCH(D55,'8. Materiály'!$A$6:$A$56,0)),"")</x:f>
        <x:v>Fermacell 15 mm</x:v>
      </x:c>
      <x:c r="G55" s="231" t="n">
        <x:f>IFERROR(INDEX('8. Materiály'!$C$6:$C$56,MATCH(D55,'8. Materiály'!$A$6:$A$56,0)),"")</x:f>
        <x:v>15</x:v>
      </x:c>
      <x:c r="H55" s="92" t="str">
        <x:f>IFERROR(INDEX('8. Materiály'!$D$6:$D$56,MATCH(D55,'8. Materiály'!$A$6:$A$56,0)),"")</x:f>
        <x:v>m²</x:v>
      </x:c>
      <x:c r="I55" s="232" t="n">
        <x:v>1.05</x:v>
      </x:c>
      <x:c r="J55" s="90" t="n">
        <x:f>IFERROR(INDEX('8. Materiály'!$G$6:$G$56,MATCH(D55,'8. Materiály'!$A$6:$A$56,0)),0)</x:f>
        <x:v>280</x:v>
      </x:c>
      <x:c r="K55" s="59" t="n">
        <x:f>I55*J55</x:f>
        <x:v>294</x:v>
      </x:c>
      <x:c r="L55" s="92" t="str">
        <x:f>IFERROR(INDEX('8. Materiály'!$K$6:$K$56,MATCH(D55,'8. Materiály'!$A$6:$A$56,0)),"CHYBÍ")</x:f>
        <x:v>ODHAD</x:v>
      </x:c>
      <x:c r="M55" s="233" t="str">
        <x:f>IFERROR(INDEX('8. Materiály'!$I$6:$I$56,MATCH(D55,'8. Materiály'!$A$6:$A$56,0)),"")</x:f>
      </x:c>
    </x:row>
    <x:row r="56">
      <x:c r="A56" s="47" t="str">
        <x:v>STRECHA_SIKMA</x:v>
      </x:c>
      <x:c r="B56" s="47" t="str">
        <x:v>R0</x:v>
      </x:c>
      <x:c r="C56" s="47" t="str">
        <x:v>Vrstva 2</x:v>
      </x:c>
      <x:c r="D56" s="219" t="str">
        <x:v>MAT-039</x:v>
      </x:c>
      <x:c r="E56" s="47" t="str">
        <x:v>Instalační rošt</x:v>
      </x:c>
      <x:c r="F56" s="92" t="str">
        <x:f>IFERROR(INDEX('8. Materiály'!$B$6:$B$56,MATCH(D56,'8. Materiály'!$A$6:$A$56,0)),"")</x:f>
        <x:v>Latě 40×60 mm</x:v>
      </x:c>
      <x:c r="G56" s="231" t="n">
        <x:f>IFERROR(INDEX('8. Materiály'!$C$6:$C$56,MATCH(D56,'8. Materiály'!$A$6:$A$56,0)),"")</x:f>
        <x:v>40</x:v>
      </x:c>
      <x:c r="H56" s="92" t="str">
        <x:f>IFERROR(INDEX('8. Materiály'!$D$6:$D$56,MATCH(D56,'8. Materiály'!$A$6:$A$56,0)),"")</x:f>
        <x:v>m³</x:v>
      </x:c>
      <x:c r="I56" s="232" t="n">
        <x:v>0.006</x:v>
      </x:c>
      <x:c r="J56" s="90" t="n">
        <x:f>IFERROR(INDEX('8. Materiály'!$G$6:$G$56,MATCH(D56,'8. Materiály'!$A$6:$A$56,0)),0)</x:f>
        <x:v>11000</x:v>
      </x:c>
      <x:c r="K56" s="59" t="n">
        <x:f>I56*J56</x:f>
        <x:v>66</x:v>
      </x:c>
      <x:c r="L56" s="92" t="str">
        <x:f>IFERROR(INDEX('8. Materiály'!$K$6:$K$56,MATCH(D56,'8. Materiály'!$A$6:$A$56,0)),"CHYBÍ")</x:f>
        <x:v>ODHAD</x:v>
      </x:c>
      <x:c r="M56" s="233" t="str">
        <x:f>IFERROR(INDEX('8. Materiály'!$I$6:$I$56,MATCH(D56,'8. Materiály'!$A$6:$A$56,0)),"")</x:f>
      </x:c>
    </x:row>
    <x:row r="57">
      <x:c r="A57" s="47" t="str">
        <x:v>STRECHA_SIKMA</x:v>
      </x:c>
      <x:c r="B57" s="47" t="str">
        <x:v>R0</x:v>
      </x:c>
      <x:c r="C57" s="47" t="str">
        <x:v>Vrstva 3</x:v>
      </x:c>
      <x:c r="D57" s="219" t="str">
        <x:v>MAT-040</x:v>
      </x:c>
      <x:c r="E57" s="47" t="str">
        <x:v>Reflexní parozábrana</x:v>
      </x:c>
      <x:c r="F57" s="92" t="str">
        <x:f>IFERROR(INDEX('8. Materiály'!$B$6:$B$56,MATCH(D57,'8. Materiály'!$A$6:$A$56,0)),"")</x:f>
        <x:v>Vesper ReflectAlu 0.3 mm</x:v>
      </x:c>
      <x:c r="G57" s="231" t="n">
        <x:f>IFERROR(INDEX('8. Materiály'!$C$6:$C$56,MATCH(D57,'8. Materiály'!$A$6:$A$56,0)),"")</x:f>
        <x:v>0.3</x:v>
      </x:c>
      <x:c r="H57" s="92" t="str">
        <x:f>IFERROR(INDEX('8. Materiály'!$D$6:$D$56,MATCH(D57,'8. Materiály'!$A$6:$A$56,0)),"")</x:f>
        <x:v>m²</x:v>
      </x:c>
      <x:c r="I57" s="232" t="n">
        <x:v>1.1</x:v>
      </x:c>
      <x:c r="J57" s="90" t="n">
        <x:f>IFERROR(INDEX('8. Materiály'!$G$6:$G$56,MATCH(D57,'8. Materiály'!$A$6:$A$56,0)),0)</x:f>
        <x:v>75</x:v>
      </x:c>
      <x:c r="K57" s="59" t="n">
        <x:f>I57*J57</x:f>
        <x:v>82.5</x:v>
      </x:c>
      <x:c r="L57" s="92" t="str">
        <x:f>IFERROR(INDEX('8. Materiály'!$K$6:$K$56,MATCH(D57,'8. Materiály'!$A$6:$A$56,0)),"CHYBÍ")</x:f>
        <x:v>ODHAD</x:v>
      </x:c>
      <x:c r="M57" s="233" t="str">
        <x:f>IFERROR(INDEX('8. Materiály'!$I$6:$I$56,MATCH(D57,'8. Materiály'!$A$6:$A$56,0)),"")</x:f>
      </x:c>
    </x:row>
    <x:row r="58">
      <x:c r="A58" s="47" t="str">
        <x:v>STRECHA_SIKMA</x:v>
      </x:c>
      <x:c r="B58" s="47" t="str">
        <x:v>R0</x:v>
      </x:c>
      <x:c r="C58" s="47" t="str">
        <x:v>Vrstva 4</x:v>
      </x:c>
      <x:c r="D58" s="219" t="str">
        <x:v>MAT-041</x:v>
      </x:c>
      <x:c r="E58" s="47" t="str">
        <x:v>Nosné krokve</x:v>
      </x:c>
      <x:c r="F58" s="92" t="str">
        <x:f>IFERROR(INDEX('8. Materiály'!$B$6:$B$56,MATCH(D58,'8. Materiály'!$A$6:$A$56,0)),"")</x:f>
        <x:v>KVH krokevní nosníky 240 mm</x:v>
      </x:c>
      <x:c r="G58" s="231" t="n">
        <x:f>IFERROR(INDEX('8. Materiály'!$C$6:$C$56,MATCH(D58,'8. Materiály'!$A$6:$A$56,0)),"")</x:f>
        <x:v>240</x:v>
      </x:c>
      <x:c r="H58" s="92" t="str">
        <x:f>IFERROR(INDEX('8. Materiály'!$D$6:$D$56,MATCH(D58,'8. Materiály'!$A$6:$A$56,0)),"")</x:f>
        <x:v>m³</x:v>
      </x:c>
      <x:c r="I58" s="232" t="n">
        <x:v>0.042</x:v>
      </x:c>
      <x:c r="J58" s="90" t="n">
        <x:f>IFERROR(INDEX('8. Materiály'!$G$6:$G$56,MATCH(D58,'8. Materiály'!$A$6:$A$56,0)),0)</x:f>
        <x:v>13500</x:v>
      </x:c>
      <x:c r="K58" s="59" t="n">
        <x:f>I58*J58</x:f>
        <x:v>567</x:v>
      </x:c>
      <x:c r="L58" s="92" t="str">
        <x:f>IFERROR(INDEX('8. Materiály'!$K$6:$K$56,MATCH(D58,'8. Materiály'!$A$6:$A$56,0)),"CHYBÍ")</x:f>
        <x:v>ODHAD</x:v>
      </x:c>
      <x:c r="M58" s="233" t="str">
        <x:f>IFERROR(INDEX('8. Materiály'!$I$6:$I$56,MATCH(D58,'8. Materiály'!$A$6:$A$56,0)),"")</x:f>
      </x:c>
    </x:row>
    <x:row r="59">
      <x:c r="A59" s="47" t="str">
        <x:v>STRECHA_SIKMA</x:v>
      </x:c>
      <x:c r="B59" s="47" t="str">
        <x:v>R0</x:v>
      </x:c>
      <x:c r="C59" s="47" t="str">
        <x:v>Vrstva 5</x:v>
      </x:c>
      <x:c r="D59" s="219" t="str">
        <x:v>MAT-042</x:v>
      </x:c>
      <x:c r="E59" s="47" t="str">
        <x:v>Tepelná vata</x:v>
      </x:c>
      <x:c r="F59" s="92" t="str">
        <x:f>IFERROR(INDEX('8. Materiály'!$B$6:$B$56,MATCH(D59,'8. Materiály'!$A$6:$A$56,0)),"")</x:f>
        <x:v>Isover Uni 240 mm</x:v>
      </x:c>
      <x:c r="G59" s="231" t="n">
        <x:f>IFERROR(INDEX('8. Materiály'!$C$6:$C$56,MATCH(D59,'8. Materiály'!$A$6:$A$56,0)),"")</x:f>
        <x:v>240</x:v>
      </x:c>
      <x:c r="H59" s="92" t="str">
        <x:f>IFERROR(INDEX('8. Materiály'!$D$6:$D$56,MATCH(D59,'8. Materiály'!$A$6:$A$56,0)),"")</x:f>
        <x:v>m²</x:v>
      </x:c>
      <x:c r="I59" s="232" t="n">
        <x:v>1.02</x:v>
      </x:c>
      <x:c r="J59" s="90" t="n">
        <x:f>IFERROR(INDEX('8. Materiály'!$G$6:$G$56,MATCH(D59,'8. Materiály'!$A$6:$A$56,0)),0)</x:f>
        <x:v>540</x:v>
      </x:c>
      <x:c r="K59" s="59" t="n">
        <x:f>I59*J59</x:f>
        <x:v>550.8</x:v>
      </x:c>
      <x:c r="L59" s="92" t="str">
        <x:f>IFERROR(INDEX('8. Materiály'!$K$6:$K$56,MATCH(D59,'8. Materiály'!$A$6:$A$56,0)),"CHYBÍ")</x:f>
        <x:v>ODHAD</x:v>
      </x:c>
      <x:c r="M59" s="233" t="str">
        <x:f>IFERROR(INDEX('8. Materiály'!$I$6:$I$56,MATCH(D59,'8. Materiály'!$A$6:$A$56,0)),"")</x:f>
      </x:c>
    </x:row>
    <x:row r="60">
      <x:c r="A60" s="47" t="str">
        <x:v>STRECHA_SIKMA</x:v>
      </x:c>
      <x:c r="B60" s="47" t="str">
        <x:v>R0</x:v>
      </x:c>
      <x:c r="C60" s="47" t="str">
        <x:v>Vrstva 6</x:v>
      </x:c>
      <x:c r="D60" s="219" t="str">
        <x:v>MAT-043</x:v>
      </x:c>
      <x:c r="E60" s="47" t="str">
        <x:v>Nadkrokevní deska</x:v>
      </x:c>
      <x:c r="F60" s="92" t="str">
        <x:f>IFERROR(INDEX('8. Materiály'!$B$6:$B$56,MATCH(D60,'8. Materiály'!$A$6:$A$56,0)),"")</x:f>
        <x:v>STEICO special dry 60 mm</x:v>
      </x:c>
      <x:c r="G60" s="231" t="n">
        <x:f>IFERROR(INDEX('8. Materiály'!$C$6:$C$56,MATCH(D60,'8. Materiály'!$A$6:$A$56,0)),"")</x:f>
        <x:v>60</x:v>
      </x:c>
      <x:c r="H60" s="92" t="str">
        <x:f>IFERROR(INDEX('8. Materiály'!$D$6:$D$56,MATCH(D60,'8. Materiály'!$A$6:$A$56,0)),"")</x:f>
        <x:v>m²</x:v>
      </x:c>
      <x:c r="I60" s="232" t="n">
        <x:v>1.05</x:v>
      </x:c>
      <x:c r="J60" s="90" t="n">
        <x:f>IFERROR(INDEX('8. Materiály'!$G$6:$G$56,MATCH(D60,'8. Materiály'!$A$6:$A$56,0)),0)</x:f>
        <x:v>590</x:v>
      </x:c>
      <x:c r="K60" s="59" t="n">
        <x:f>I60*J60</x:f>
        <x:v>619.5</x:v>
      </x:c>
      <x:c r="L60" s="92" t="str">
        <x:f>IFERROR(INDEX('8. Materiály'!$K$6:$K$56,MATCH(D60,'8. Materiály'!$A$6:$A$56,0)),"CHYBÍ")</x:f>
        <x:v>ODHAD</x:v>
      </x:c>
      <x:c r="M60" s="233" t="str">
        <x:f>IFERROR(INDEX('8. Materiály'!$I$6:$I$56,MATCH(D60,'8. Materiály'!$A$6:$A$56,0)),"")</x:f>
      </x:c>
    </x:row>
    <x:row r="61">
      <x:c r="A61" s="47" t="str">
        <x:v>STRECHA_SIKMA</x:v>
      </x:c>
      <x:c r="B61" s="47" t="str">
        <x:v>R0</x:v>
      </x:c>
      <x:c r="C61" s="47" t="str">
        <x:v>Vrstva 7</x:v>
      </x:c>
      <x:c r="D61" s="219" t="str">
        <x:v>MAT-044</x:v>
      </x:c>
      <x:c r="E61" s="47" t="str">
        <x:v>Hydroizolační membrána</x:v>
      </x:c>
      <x:c r="F61" s="92" t="str">
        <x:f>IFERROR(INDEX('8. Materiály'!$B$6:$B$56,MATCH(D61,'8. Materiály'!$A$6:$A$56,0)),"")</x:f>
        <x:v>Dörken Delta-Vent N</x:v>
      </x:c>
      <x:c r="G61" s="231" t="n">
        <x:f>IFERROR(INDEX('8. Materiály'!$C$6:$C$56,MATCH(D61,'8. Materiály'!$A$6:$A$56,0)),"")</x:f>
        <x:v>1</x:v>
      </x:c>
      <x:c r="H61" s="92" t="str">
        <x:f>IFERROR(INDEX('8. Materiály'!$D$6:$D$56,MATCH(D61,'8. Materiály'!$A$6:$A$56,0)),"")</x:f>
        <x:v>m²</x:v>
      </x:c>
      <x:c r="I61" s="232" t="n">
        <x:v>1.12</x:v>
      </x:c>
      <x:c r="J61" s="90" t="n">
        <x:f>IFERROR(INDEX('8. Materiály'!$G$6:$G$56,MATCH(D61,'8. Materiály'!$A$6:$A$56,0)),0)</x:f>
        <x:v>65</x:v>
      </x:c>
      <x:c r="K61" s="59" t="n">
        <x:f>I61*J61</x:f>
        <x:v>72.80000000000001</x:v>
      </x:c>
      <x:c r="L61" s="92" t="str">
        <x:f>IFERROR(INDEX('8. Materiály'!$K$6:$K$56,MATCH(D61,'8. Materiály'!$A$6:$A$56,0)),"CHYBÍ")</x:f>
        <x:v>ODHAD</x:v>
      </x:c>
      <x:c r="M61" s="233" t="str">
        <x:f>IFERROR(INDEX('8. Materiály'!$I$6:$I$56,MATCH(D61,'8. Materiály'!$A$6:$A$56,0)),"")</x:f>
      </x:c>
    </x:row>
    <x:row r="62">
      <x:c r="A62" s="47" t="str">
        <x:v>STRECHA_SIKMA</x:v>
      </x:c>
      <x:c r="B62" s="47" t="str">
        <x:v>R0</x:v>
      </x:c>
      <x:c r="C62" s="47" t="str">
        <x:v>Vrstva 8</x:v>
      </x:c>
      <x:c r="D62" s="219" t="str">
        <x:v>MAT-045</x:v>
      </x:c>
      <x:c r="E62" s="47" t="str">
        <x:v>Kontralatě</x:v>
      </x:c>
      <x:c r="F62" s="92" t="str">
        <x:f>IFERROR(INDEX('8. Materiály'!$B$6:$B$56,MATCH(D62,'8. Materiály'!$A$6:$A$56,0)),"")</x:f>
        <x:v>Impregnované latě 40×60 mm</x:v>
      </x:c>
      <x:c r="G62" s="231" t="n">
        <x:f>IFERROR(INDEX('8. Materiály'!$C$6:$C$56,MATCH(D62,'8. Materiály'!$A$6:$A$56,0)),"")</x:f>
        <x:v>40</x:v>
      </x:c>
      <x:c r="H62" s="92" t="str">
        <x:f>IFERROR(INDEX('8. Materiály'!$D$6:$D$56,MATCH(D62,'8. Materiály'!$A$6:$A$56,0)),"")</x:f>
        <x:v>m³</x:v>
      </x:c>
      <x:c r="I62" s="232" t="n">
        <x:v>0.01</x:v>
      </x:c>
      <x:c r="J62" s="90" t="n">
        <x:f>IFERROR(INDEX('8. Materiály'!$G$6:$G$56,MATCH(D62,'8. Materiály'!$A$6:$A$56,0)),0)</x:f>
        <x:v>11000</x:v>
      </x:c>
      <x:c r="K62" s="59" t="n">
        <x:f>I62*J62</x:f>
        <x:v>110</x:v>
      </x:c>
      <x:c r="L62" s="92" t="str">
        <x:f>IFERROR(INDEX('8. Materiály'!$K$6:$K$56,MATCH(D62,'8. Materiály'!$A$6:$A$56,0)),"CHYBÍ")</x:f>
        <x:v>ODHAD</x:v>
      </x:c>
      <x:c r="M62" s="233" t="str">
        <x:f>IFERROR(INDEX('8. Materiály'!$I$6:$I$56,MATCH(D62,'8. Materiály'!$A$6:$A$56,0)),"")</x:f>
      </x:c>
    </x:row>
    <x:row r="63">
      <x:c r="A63" s="47" t="str">
        <x:v>STRECHA_PLOCHA</x:v>
      </x:c>
      <x:c r="B63" s="47" t="str">
        <x:v>R0</x:v>
      </x:c>
      <x:c r="C63" s="47" t="str">
        <x:v>Vrstva 1</x:v>
      </x:c>
      <x:c r="D63" s="219" t="str">
        <x:v>MAT-001</x:v>
      </x:c>
      <x:c r="E63" s="47" t="str">
        <x:v>Podhledový záklop</x:v>
      </x:c>
      <x:c r="F63" s="92" t="str">
        <x:f>IFERROR(INDEX('8. Materiály'!$B$6:$B$56,MATCH(D63,'8. Materiály'!$A$6:$A$56,0)),"")</x:f>
        <x:v>Fermacell 15 mm</x:v>
      </x:c>
      <x:c r="G63" s="231" t="n">
        <x:f>IFERROR(INDEX('8. Materiály'!$C$6:$C$56,MATCH(D63,'8. Materiály'!$A$6:$A$56,0)),"")</x:f>
        <x:v>15</x:v>
      </x:c>
      <x:c r="H63" s="92" t="str">
        <x:f>IFERROR(INDEX('8. Materiály'!$D$6:$D$56,MATCH(D63,'8. Materiály'!$A$6:$A$56,0)),"")</x:f>
        <x:v>m²</x:v>
      </x:c>
      <x:c r="I63" s="232" t="n">
        <x:v>1.05</x:v>
      </x:c>
      <x:c r="J63" s="90" t="n">
        <x:f>IFERROR(INDEX('8. Materiály'!$G$6:$G$56,MATCH(D63,'8. Materiály'!$A$6:$A$56,0)),0)</x:f>
        <x:v>280</x:v>
      </x:c>
      <x:c r="K63" s="59" t="n">
        <x:f>I63*J63</x:f>
        <x:v>294</x:v>
      </x:c>
      <x:c r="L63" s="92" t="str">
        <x:f>IFERROR(INDEX('8. Materiály'!$K$6:$K$56,MATCH(D63,'8. Materiály'!$A$6:$A$56,0)),"CHYBÍ")</x:f>
        <x:v>ODHAD</x:v>
      </x:c>
      <x:c r="M63" s="233" t="str">
        <x:f>IFERROR(INDEX('8. Materiály'!$I$6:$I$56,MATCH(D63,'8. Materiály'!$A$6:$A$56,0)),"")</x:f>
      </x:c>
    </x:row>
    <x:row r="64">
      <x:c r="A64" s="47" t="str">
        <x:v>STRECHA_PLOCHA</x:v>
      </x:c>
      <x:c r="B64" s="47" t="str">
        <x:v>R0</x:v>
      </x:c>
      <x:c r="C64" s="47" t="str">
        <x:v>Vrstva 2</x:v>
      </x:c>
      <x:c r="D64" s="219" t="str">
        <x:v>MAT-046</x:v>
      </x:c>
      <x:c r="E64" s="47" t="str">
        <x:v>Parotěsná zábrana</x:v>
      </x:c>
      <x:c r="F64" s="92" t="str">
        <x:f>IFERROR(INDEX('8. Materiály'!$B$6:$B$56,MATCH(D64,'8. Materiály'!$A$6:$A$56,0)),"")</x:f>
        <x:v>Vesper VaporStop Alu 0.4 mm</x:v>
      </x:c>
      <x:c r="G64" s="231" t="n">
        <x:f>IFERROR(INDEX('8. Materiály'!$C$6:$C$56,MATCH(D64,'8. Materiály'!$A$6:$A$56,0)),"")</x:f>
        <x:v>0.4</x:v>
      </x:c>
      <x:c r="H64" s="92" t="str">
        <x:f>IFERROR(INDEX('8. Materiály'!$D$6:$D$56,MATCH(D64,'8. Materiály'!$A$6:$A$56,0)),"")</x:f>
        <x:v>m²</x:v>
      </x:c>
      <x:c r="I64" s="232" t="n">
        <x:v>1.1</x:v>
      </x:c>
      <x:c r="J64" s="90" t="n">
        <x:f>IFERROR(INDEX('8. Materiály'!$G$6:$G$56,MATCH(D64,'8. Materiály'!$A$6:$A$56,0)),0)</x:f>
        <x:v>85</x:v>
      </x:c>
      <x:c r="K64" s="59" t="n">
        <x:f>I64*J64</x:f>
        <x:v>93.50000000000001</x:v>
      </x:c>
      <x:c r="L64" s="92" t="str">
        <x:f>IFERROR(INDEX('8. Materiály'!$K$6:$K$56,MATCH(D64,'8. Materiály'!$A$6:$A$56,0)),"CHYBÍ")</x:f>
        <x:v>ODHAD</x:v>
      </x:c>
      <x:c r="M64" s="233" t="str">
        <x:f>IFERROR(INDEX('8. Materiály'!$I$6:$I$56,MATCH(D64,'8. Materiály'!$A$6:$A$56,0)),"")</x:f>
      </x:c>
    </x:row>
    <x:row r="65">
      <x:c r="A65" s="47" t="str">
        <x:v>STRECHA_PLOCHA</x:v>
      </x:c>
      <x:c r="B65" s="47" t="str">
        <x:v>R0</x:v>
      </x:c>
      <x:c r="C65" s="47" t="str">
        <x:v>Vrstva 3</x:v>
      </x:c>
      <x:c r="D65" s="219" t="str">
        <x:v>MAT-047</x:v>
      </x:c>
      <x:c r="E65" s="47" t="str">
        <x:v>Stropní &amp; střešní trámy</x:v>
      </x:c>
      <x:c r="F65" s="92" t="str">
        <x:f>IFERROR(INDEX('8. Materiály'!$B$6:$B$56,MATCH(D65,'8. Materiály'!$A$6:$A$56,0)),"")</x:f>
        <x:v>KVH 240 mm</x:v>
      </x:c>
      <x:c r="G65" s="231" t="n">
        <x:f>IFERROR(INDEX('8. Materiály'!$C$6:$C$56,MATCH(D65,'8. Materiály'!$A$6:$A$56,0)),"")</x:f>
        <x:v>240</x:v>
      </x:c>
      <x:c r="H65" s="92" t="str">
        <x:f>IFERROR(INDEX('8. Materiály'!$D$6:$D$56,MATCH(D65,'8. Materiály'!$A$6:$A$56,0)),"")</x:f>
        <x:v>m³</x:v>
      </x:c>
      <x:c r="I65" s="232" t="n">
        <x:v>0.038</x:v>
      </x:c>
      <x:c r="J65" s="90" t="n">
        <x:f>IFERROR(INDEX('8. Materiály'!$G$6:$G$56,MATCH(D65,'8. Materiály'!$A$6:$A$56,0)),0)</x:f>
        <x:v>12500</x:v>
      </x:c>
      <x:c r="K65" s="59" t="n">
        <x:f>I65*J65</x:f>
        <x:v>475</x:v>
      </x:c>
      <x:c r="L65" s="92" t="str">
        <x:f>IFERROR(INDEX('8. Materiály'!$K$6:$K$56,MATCH(D65,'8. Materiály'!$A$6:$A$56,0)),"CHYBÍ")</x:f>
        <x:v>ODHAD</x:v>
      </x:c>
      <x:c r="M65" s="233" t="str">
        <x:f>IFERROR(INDEX('8. Materiály'!$I$6:$I$56,MATCH(D65,'8. Materiály'!$A$6:$A$56,0)),"")</x:f>
      </x:c>
    </x:row>
    <x:row r="66">
      <x:c r="A66" s="47" t="str">
        <x:v>STRECHA_PLOCHA</x:v>
      </x:c>
      <x:c r="B66" s="47" t="str">
        <x:v>R0</x:v>
      </x:c>
      <x:c r="C66" s="47" t="str">
        <x:v>Vrstva 4</x:v>
      </x:c>
      <x:c r="D66" s="219" t="str">
        <x:v>MAT-042</x:v>
      </x:c>
      <x:c r="E66" s="47" t="str">
        <x:v>Základní vata</x:v>
      </x:c>
      <x:c r="F66" s="92" t="str">
        <x:f>IFERROR(INDEX('8. Materiály'!$B$6:$B$56,MATCH(D66,'8. Materiály'!$A$6:$A$56,0)),"")</x:f>
        <x:v>Isover Uni 240 mm</x:v>
      </x:c>
      <x:c r="G66" s="231" t="n">
        <x:f>IFERROR(INDEX('8. Materiály'!$C$6:$C$56,MATCH(D66,'8. Materiály'!$A$6:$A$56,0)),"")</x:f>
        <x:v>240</x:v>
      </x:c>
      <x:c r="H66" s="92" t="str">
        <x:f>IFERROR(INDEX('8. Materiály'!$D$6:$D$56,MATCH(D66,'8. Materiály'!$A$6:$A$56,0)),"")</x:f>
        <x:v>m²</x:v>
      </x:c>
      <x:c r="I66" s="232" t="n">
        <x:v>1.02</x:v>
      </x:c>
      <x:c r="J66" s="90" t="n">
        <x:f>IFERROR(INDEX('8. Materiály'!$G$6:$G$56,MATCH(D66,'8. Materiály'!$A$6:$A$56,0)),0)</x:f>
        <x:v>540</x:v>
      </x:c>
      <x:c r="K66" s="59" t="n">
        <x:f>I66*J66</x:f>
        <x:v>550.8</x:v>
      </x:c>
      <x:c r="L66" s="92" t="str">
        <x:f>IFERROR(INDEX('8. Materiály'!$K$6:$K$56,MATCH(D66,'8. Materiály'!$A$6:$A$56,0)),"CHYBÍ")</x:f>
        <x:v>ODHAD</x:v>
      </x:c>
      <x:c r="M66" s="233" t="str">
        <x:f>IFERROR(INDEX('8. Materiály'!$I$6:$I$56,MATCH(D66,'8. Materiály'!$A$6:$A$56,0)),"")</x:f>
      </x:c>
    </x:row>
    <x:row r="67">
      <x:c r="A67" s="47" t="str">
        <x:v>STRECHA_PLOCHA</x:v>
      </x:c>
      <x:c r="B67" s="47" t="str">
        <x:v>R0</x:v>
      </x:c>
      <x:c r="C67" s="47" t="str">
        <x:v>Vrstva 5</x:v>
      </x:c>
      <x:c r="D67" s="219" t="str">
        <x:v>MAT-031</x:v>
      </x:c>
      <x:c r="E67" s="47" t="str">
        <x:v>Záklopový nosný plášť</x:v>
      </x:c>
      <x:c r="F67" s="92" t="str">
        <x:f>IFERROR(INDEX('8. Materiály'!$B$6:$B$56,MATCH(D67,'8. Materiály'!$A$6:$A$56,0)),"")</x:f>
        <x:v>OSB 3 deska N+D 22 mm</x:v>
      </x:c>
      <x:c r="G67" s="231" t="n">
        <x:f>IFERROR(INDEX('8. Materiály'!$C$6:$C$56,MATCH(D67,'8. Materiály'!$A$6:$A$56,0)),"")</x:f>
        <x:v>22</x:v>
      </x:c>
      <x:c r="H67" s="92" t="str">
        <x:f>IFERROR(INDEX('8. Materiály'!$D$6:$D$56,MATCH(D67,'8. Materiály'!$A$6:$A$56,0)),"")</x:f>
        <x:v>m²</x:v>
      </x:c>
      <x:c r="I67" s="232" t="n">
        <x:v>1.05</x:v>
      </x:c>
      <x:c r="J67" s="90" t="n">
        <x:f>IFERROR(INDEX('8. Materiály'!$G$6:$G$56,MATCH(D67,'8. Materiály'!$A$6:$A$56,0)),0)</x:f>
        <x:v>340</x:v>
      </x:c>
      <x:c r="K67" s="59" t="n">
        <x:f>I67*J67</x:f>
        <x:v>357</x:v>
      </x:c>
      <x:c r="L67" s="92" t="str">
        <x:f>IFERROR(INDEX('8. Materiály'!$K$6:$K$56,MATCH(D67,'8. Materiály'!$A$6:$A$56,0)),"CHYBÍ")</x:f>
        <x:v>ODHAD</x:v>
      </x:c>
      <x:c r="M67" s="233" t="str">
        <x:f>IFERROR(INDEX('8. Materiály'!$I$6:$I$56,MATCH(D67,'8. Materiály'!$A$6:$A$56,0)),"")</x:f>
      </x:c>
    </x:row>
    <x:row r="68">
      <x:c r="A68" s="47" t="str">
        <x:v>STRECHA_PLOCHA</x:v>
      </x:c>
      <x:c r="B68" s="47" t="str">
        <x:v>R0</x:v>
      </x:c>
      <x:c r="C68" s="47" t="str">
        <x:v>Vrstva 6</x:v>
      </x:c>
      <x:c r="D68" s="219" t="str">
        <x:v>MAT-048</x:v>
      </x:c>
      <x:c r="E68" s="47" t="str">
        <x:v>Spádové klíny EPS</x:v>
      </x:c>
      <x:c r="F68" s="92" t="str">
        <x:f>IFERROR(INDEX('8. Materiály'!$B$6:$B$56,MATCH(D68,'8. Materiály'!$A$6:$A$56,0)),"")</x:f>
        <x:v>Klíny EPS 150 Stabil 180 mm</x:v>
      </x:c>
      <x:c r="G68" s="231" t="n">
        <x:f>IFERROR(INDEX('8. Materiály'!$C$6:$C$56,MATCH(D68,'8. Materiály'!$A$6:$A$56,0)),"")</x:f>
        <x:v>180</x:v>
      </x:c>
      <x:c r="H68" s="92" t="str">
        <x:f>IFERROR(INDEX('8. Materiály'!$D$6:$D$56,MATCH(D68,'8. Materiály'!$A$6:$A$56,0)),"")</x:f>
        <x:v>m²</x:v>
      </x:c>
      <x:c r="I68" s="232" t="n">
        <x:v>1.02</x:v>
      </x:c>
      <x:c r="J68" s="90" t="n">
        <x:f>IFERROR(INDEX('8. Materiály'!$G$6:$G$56,MATCH(D68,'8. Materiály'!$A$6:$A$56,0)),0)</x:f>
        <x:v>620</x:v>
      </x:c>
      <x:c r="K68" s="59" t="n">
        <x:f>I68*J68</x:f>
        <x:v>632.4</x:v>
      </x:c>
      <x:c r="L68" s="92" t="str">
        <x:f>IFERROR(INDEX('8. Materiály'!$K$6:$K$56,MATCH(D68,'8. Materiály'!$A$6:$A$56,0)),"CHYBÍ")</x:f>
        <x:v>ODHAD</x:v>
      </x:c>
      <x:c r="M68" s="233" t="str">
        <x:f>IFERROR(INDEX('8. Materiály'!$I$6:$I$56,MATCH(D68,'8. Materiály'!$A$6:$A$56,0)),"")</x:f>
      </x:c>
    </x:row>
    <x:row r="69">
      <x:c r="A69" s="47" t="str">
        <x:v>STRECHA_PLOCHA</x:v>
      </x:c>
      <x:c r="B69" s="47" t="str">
        <x:v>R0</x:v>
      </x:c>
      <x:c r="C69" s="47" t="str">
        <x:v>Vrstva 7</x:v>
      </x:c>
      <x:c r="D69" s="219" t="str">
        <x:v>MAT-049</x:v>
      </x:c>
      <x:c r="E69" s="47" t="str">
        <x:v>Hydroizolační mPVC fólie</x:v>
      </x:c>
      <x:c r="F69" s="92" t="str">
        <x:f>IFERROR(INDEX('8. Materiály'!$B$6:$B$56,MATCH(D69,'8. Materiály'!$A$6:$A$56,0)),"")</x:f>
        <x:v>Fatrafol 810 (tl. 1.5 mm)</x:v>
      </x:c>
      <x:c r="G69" s="231" t="n">
        <x:f>IFERROR(INDEX('8. Materiály'!$C$6:$C$56,MATCH(D69,'8. Materiály'!$A$6:$A$56,0)),"")</x:f>
        <x:v>1.5</x:v>
      </x:c>
      <x:c r="H69" s="92" t="str">
        <x:f>IFERROR(INDEX('8. Materiály'!$D$6:$D$56,MATCH(D69,'8. Materiály'!$A$6:$A$56,0)),"")</x:f>
        <x:v>m²</x:v>
      </x:c>
      <x:c r="I69" s="232" t="n">
        <x:v>1.15</x:v>
      </x:c>
      <x:c r="J69" s="90" t="n">
        <x:f>IFERROR(INDEX('8. Materiály'!$G$6:$G$56,MATCH(D69,'8. Materiály'!$A$6:$A$56,0)),0)</x:f>
        <x:v>490</x:v>
      </x:c>
      <x:c r="K69" s="59" t="n">
        <x:f>I69*J69</x:f>
        <x:v>563.5</x:v>
      </x:c>
      <x:c r="L69" s="92" t="str">
        <x:f>IFERROR(INDEX('8. Materiály'!$K$6:$K$56,MATCH(D69,'8. Materiály'!$A$6:$A$56,0)),"CHYBÍ")</x:f>
        <x:v>ODHAD</x:v>
      </x:c>
      <x:c r="M69" s="233" t="str">
        <x:f>IFERROR(INDEX('8. Materiály'!$I$6:$I$56,MATCH(D69,'8. Materiály'!$A$6:$A$56,0)),"")</x:f>
      </x:c>
    </x:row>
    <x:row r="70">
      <x:c r="A70" s="47" t="str">
        <x:v>PODLAHA_1NP</x:v>
      </x:c>
      <x:c r="B70" s="47" t="str">
        <x:v>R0</x:v>
      </x:c>
      <x:c r="C70" s="47" t="str">
        <x:v>Vrstva 1</x:v>
      </x:c>
      <x:c r="D70" s="219" t="str">
        <x:v>MAT-050</x:v>
      </x:c>
      <x:c r="E70" s="47" t="str">
        <x:v>Hydroizolační zábrana</x:v>
      </x:c>
      <x:c r="F70" s="92" t="str">
        <x:f>IFERROR(INDEX('8. Materiály'!$B$6:$B$56,MATCH(D70,'8. Materiály'!$A$6:$A$56,0)),"")</x:f>
        <x:v>Glastek 40 Special Mineral</x:v>
      </x:c>
      <x:c r="G70" s="231" t="n">
        <x:f>IFERROR(INDEX('8. Materiály'!$C$6:$C$56,MATCH(D70,'8. Materiály'!$A$6:$A$56,0)),"")</x:f>
        <x:v>4</x:v>
      </x:c>
      <x:c r="H70" s="92" t="str">
        <x:f>IFERROR(INDEX('8. Materiály'!$D$6:$D$56,MATCH(D70,'8. Materiály'!$A$6:$A$56,0)),"")</x:f>
        <x:v>m²</x:v>
      </x:c>
      <x:c r="I70" s="232" t="n">
        <x:v>1.15</x:v>
      </x:c>
      <x:c r="J70" s="90" t="n">
        <x:f>IFERROR(INDEX('8. Materiály'!$G$6:$G$56,MATCH(D70,'8. Materiály'!$A$6:$A$56,0)),0)</x:f>
        <x:v>160</x:v>
      </x:c>
      <x:c r="K70" s="59" t="n">
        <x:f>I70*J70</x:f>
        <x:v>184</x:v>
      </x:c>
      <x:c r="L70" s="92" t="str">
        <x:f>IFERROR(INDEX('8. Materiály'!$K$6:$K$56,MATCH(D70,'8. Materiály'!$A$6:$A$56,0)),"CHYBÍ")</x:f>
        <x:v>ODHAD</x:v>
      </x:c>
      <x:c r="M70" s="233" t="str">
        <x:f>IFERROR(INDEX('8. Materiály'!$I$6:$I$56,MATCH(D70,'8. Materiály'!$A$6:$A$56,0)),"")</x:f>
      </x:c>
    </x:row>
    <x:row r="71">
      <x:c r="A71" s="47" t="str">
        <x:v>PODLAHA_1NP</x:v>
      </x:c>
      <x:c r="B71" s="47" t="str">
        <x:v>R0</x:v>
      </x:c>
      <x:c r="C71" s="47" t="str">
        <x:v>Vrstva 2</x:v>
      </x:c>
      <x:c r="D71" s="219" t="str">
        <x:v>MAT-019</x:v>
      </x:c>
      <x:c r="E71" s="47" t="str">
        <x:v>Nosné KVH polštáře</x:v>
      </x:c>
      <x:c r="F71" s="92" t="str">
        <x:f>IFERROR(INDEX('8. Materiály'!$B$6:$B$56,MATCH(D71,'8. Materiály'!$A$6:$A$56,0)),"")</x:f>
        <x:v>KVH hranol 120 mm</x:v>
      </x:c>
      <x:c r="G71" s="231" t="n">
        <x:f>IFERROR(INDEX('8. Materiály'!$C$6:$C$56,MATCH(D71,'8. Materiály'!$A$6:$A$56,0)),"")</x:f>
        <x:v>120</x:v>
      </x:c>
      <x:c r="H71" s="92" t="str">
        <x:f>IFERROR(INDEX('8. Materiály'!$D$6:$D$56,MATCH(D71,'8. Materiály'!$A$6:$A$56,0)),"")</x:f>
        <x:v>m³</x:v>
      </x:c>
      <x:c r="I71" s="232" t="n">
        <x:v>0.022</x:v>
      </x:c>
      <x:c r="J71" s="90" t="n">
        <x:f>IFERROR(INDEX('8. Materiály'!$G$6:$G$56,MATCH(D71,'8. Materiály'!$A$6:$A$56,0)),0)</x:f>
        <x:v>12500</x:v>
      </x:c>
      <x:c r="K71" s="59" t="n">
        <x:f>I71*J71</x:f>
        <x:v>275</x:v>
      </x:c>
      <x:c r="L71" s="92" t="str">
        <x:f>IFERROR(INDEX('8. Materiály'!$K$6:$K$56,MATCH(D71,'8. Materiály'!$A$6:$A$56,0)),"CHYBÍ")</x:f>
        <x:v>ODHAD</x:v>
      </x:c>
      <x:c r="M71" s="233" t="str">
        <x:f>IFERROR(INDEX('8. Materiály'!$I$6:$I$56,MATCH(D71,'8. Materiály'!$A$6:$A$56,0)),"")</x:f>
      </x:c>
    </x:row>
    <x:row r="72">
      <x:c r="A72" s="47" t="str">
        <x:v>PODLAHA_1NP</x:v>
      </x:c>
      <x:c r="B72" s="47" t="str">
        <x:v>R0</x:v>
      </x:c>
      <x:c r="C72" s="47" t="str">
        <x:v>Vrstva 3</x:v>
      </x:c>
      <x:c r="D72" s="219" t="str">
        <x:v>MAT-051</x:v>
      </x:c>
      <x:c r="E72" s="47" t="str">
        <x:v>Tepelná izolace</x:v>
      </x:c>
      <x:c r="F72" s="92" t="str">
        <x:f>IFERROR(INDEX('8. Materiály'!$B$6:$B$56,MATCH(D72,'8. Materiály'!$A$6:$A$56,0)),"")</x:f>
        <x:v>EPS 100 Stabil 120 mm</x:v>
      </x:c>
      <x:c r="G72" s="231" t="n">
        <x:f>IFERROR(INDEX('8. Materiály'!$C$6:$C$56,MATCH(D72,'8. Materiály'!$A$6:$A$56,0)),"")</x:f>
        <x:v>120</x:v>
      </x:c>
      <x:c r="H72" s="92" t="str">
        <x:f>IFERROR(INDEX('8. Materiály'!$D$6:$D$56,MATCH(D72,'8. Materiály'!$A$6:$A$56,0)),"")</x:f>
        <x:v>m²</x:v>
      </x:c>
      <x:c r="I72" s="232" t="n">
        <x:v>1.02</x:v>
      </x:c>
      <x:c r="J72" s="90" t="n">
        <x:f>IFERROR(INDEX('8. Materiály'!$G$6:$G$56,MATCH(D72,'8. Materiály'!$A$6:$A$56,0)),0)</x:f>
        <x:v>320</x:v>
      </x:c>
      <x:c r="K72" s="59" t="n">
        <x:f>I72*J72</x:f>
        <x:v>326.4</x:v>
      </x:c>
      <x:c r="L72" s="92" t="str">
        <x:f>IFERROR(INDEX('8. Materiály'!$K$6:$K$56,MATCH(D72,'8. Materiály'!$A$6:$A$56,0)),"CHYBÍ")</x:f>
        <x:v>ODHAD</x:v>
      </x:c>
      <x:c r="M72" s="233" t="str">
        <x:f>IFERROR(INDEX('8. Materiály'!$I$6:$I$56,MATCH(D72,'8. Materiály'!$A$6:$A$56,0)),"")</x:f>
      </x:c>
    </x:row>
    <x:row r="73">
      <x:c r="A73" s="47" t="str">
        <x:v>PODLAHA_1NP</x:v>
      </x:c>
      <x:c r="B73" s="47" t="str">
        <x:v>R0</x:v>
      </x:c>
      <x:c r="C73" s="47" t="str">
        <x:v>Vrstva 4</x:v>
      </x:c>
      <x:c r="D73" s="219" t="str">
        <x:v>MAT-031</x:v>
      </x:c>
      <x:c r="E73" s="47" t="str">
        <x:v>Roznášecí záklop</x:v>
      </x:c>
      <x:c r="F73" s="92" t="str">
        <x:f>IFERROR(INDEX('8. Materiály'!$B$6:$B$56,MATCH(D73,'8. Materiály'!$A$6:$A$56,0)),"")</x:f>
        <x:v>OSB 3 deska N+D 22 mm</x:v>
      </x:c>
      <x:c r="G73" s="231" t="n">
        <x:f>IFERROR(INDEX('8. Materiály'!$C$6:$C$56,MATCH(D73,'8. Materiály'!$A$6:$A$56,0)),"")</x:f>
        <x:v>22</x:v>
      </x:c>
      <x:c r="H73" s="92" t="str">
        <x:f>IFERROR(INDEX('8. Materiály'!$D$6:$D$56,MATCH(D73,'8. Materiály'!$A$6:$A$56,0)),"")</x:f>
        <x:v>m²</x:v>
      </x:c>
      <x:c r="I73" s="232" t="n">
        <x:v>1.05</x:v>
      </x:c>
      <x:c r="J73" s="90" t="n">
        <x:f>IFERROR(INDEX('8. Materiály'!$G$6:$G$56,MATCH(D73,'8. Materiály'!$A$6:$A$56,0)),0)</x:f>
        <x:v>340</x:v>
      </x:c>
      <x:c r="K73" s="59" t="n">
        <x:f>I73*J73</x:f>
        <x:v>357</x:v>
      </x:c>
      <x:c r="L73" s="92" t="str">
        <x:f>IFERROR(INDEX('8. Materiály'!$K$6:$K$56,MATCH(D73,'8. Materiály'!$A$6:$A$56,0)),"CHYBÍ")</x:f>
        <x:v>ODHAD</x:v>
      </x:c>
      <x:c r="M73" s="233" t="str">
        <x:f>IFERROR(INDEX('8. Materiály'!$I$6:$I$56,MATCH(D73,'8. Materiály'!$A$6:$A$56,0)),"")</x:f>
      </x:c>
    </x:row>
  </x:sheetData>
  <x:mergeCells>
    <x:mergeCell ref="A1:M1"/>
    <x:mergeCell ref="A2:M2"/>
    <x:mergeCell ref="A4:M4"/>
  </x:mergeCells>
  <x:conditionalFormatting sqref="L6:L73">
    <x:cfRule type="containsText" dxfId="18" priority="1" operator="containsText" text="PŘIPRAVENO"/>
    <x:cfRule type="containsText" dxfId="19" priority="2" operator="containsText" text="AKTIVNÍ"/>
    <x:cfRule type="containsText" dxfId="20" priority="3" operator="containsText" text="BLOKOVÁNO"/>
    <x:cfRule type="containsText" dxfId="21" priority="4" operator="containsText" text="CHYBÍ"/>
    <x:cfRule type="containsText" dxfId="22" priority="5" operator="containsText" text="DOPLNIT"/>
    <x:cfRule type="containsText" dxfId="23" priority="6" operator="containsText" text="PROVIZORNÍ"/>
    <x:cfRule type="containsText" dxfId="99" priority="7" operator="containsText" text="POTVRZENO"/>
    <x:cfRule type="containsText" dxfId="100" priority="8" operator="containsText" text="ODHAD"/>
    <x:cfRule type="containsText" dxfId="101" priority="9" operator="containsText" text="CHYBÍ"/>
  </x:conditionalFormatting>
  <x:dataValidations count="2">
    <x:dataValidation type="list" sqref="L6:L73">
      <x:formula1>"ODHAD,NABÍDKA,POTVRZENO,SKUTEČNOST"</x:formula1>
    </x:dataValidation>
    <x:dataValidation type="list" sqref="D6:D73">
      <x:formula1>'8. Materiály'!$A$6:$A$56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44" hidden="0" customWidth="1"/>
    <x:col min="5" max="5" width="18" hidden="0" customWidth="1"/>
    <x:col min="6" max="6" width="18" hidden="0" customWidth="1"/>
    <x:col min="7" max="7" width="19" hidden="0" customWidth="1"/>
    <x:col min="8" max="8" width="19" hidden="0" customWidth="1"/>
    <x:col min="9" max="9" width="19" hidden="0" customWidth="1"/>
    <x:col min="10" max="10" width="31" hidden="0" customWidth="1"/>
  </x:cols>
  <x:sheetData>
    <x:row r="1" ht="36" customHeight="1">
      <x:c r="A1" s="40" t="str">
        <x:v>VESPER FRAMES — NORMALIZOVANÝ BENCHMARK CS ÚRS 2026/02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25" customHeight="1">
      <x:c r="A2" s="6" t="str">
        <x:v>Benchmark je kontrola tržní pozice, nikoli vlastní náklad ani zákaznická prodejní cena konkurence.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</x:row>
    <x:row r="4">
      <x:c r="A4" s="74" t="str">
        <x:v>Metodická poznámka: hodnoty jsou pořizovací ceny z přiloženého výřezu CS ÚRS 2026/02. Pořizovací cena zahrnuje nákupní cenu a pořizovací přirážku související s dopravou. Srovnatelnost je posouzena pouze orientačně podle typu a tloušťky panelu; technické parametry je nutné ověřit.</x:v>
      </x:c>
      <x:c r="B4" s="74"/>
      <x:c r="C4" s="74"/>
      <x:c r="D4" s="74"/>
      <x:c r="E4" s="74"/>
      <x:c r="F4" s="74"/>
      <x:c r="G4" s="74"/>
      <x:c r="H4" s="74"/>
      <x:c r="I4" s="74"/>
      <x:c r="J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</x:row>
    <x:row r="6">
      <x:c r="A6" s="153" t="str">
        <x:v>Metodika ÚRS:</x:v>
      </x:c>
      <x:c r="B6" s="153" t="str">
        <x:v>https://www.cs-urs.cz/jak-je-v-cs-urs-reseno-ocenovani-dopravy-materialu-2/</x:v>
      </x:c>
      <x:c r="C6" s="153"/>
      <x:c r="D6" s="153"/>
      <x:c r="E6" s="153"/>
      <x:c r="F6" s="153"/>
      <x:c r="G6" s="153"/>
      <x:c r="H6" s="153"/>
      <x:c r="I6" s="153"/>
      <x:c r="J6" s="153"/>
    </x:row>
    <x:row r="7">
      <x:c r="A7" s="153"/>
      <x:c r="B7" s="153"/>
      <x:c r="C7" s="153"/>
      <x:c r="D7" s="153"/>
      <x:c r="E7" s="153"/>
      <x:c r="F7" s="153"/>
      <x:c r="G7" s="153"/>
      <x:c r="H7" s="153"/>
      <x:c r="I7" s="153"/>
      <x:c r="J7" s="153"/>
    </x:row>
    <x:row r="8">
      <x:c r="A8" s="52" t="str">
        <x:v>5.1 SOUHRN BENCHMARKU PODLE PANELU</x:v>
      </x:c>
      <x:c r="B8" s="52"/>
      <x:c r="C8" s="52"/>
      <x:c r="D8" s="52"/>
      <x:c r="E8" s="52"/>
      <x:c r="F8" s="52"/>
      <x:c r="G8" s="52"/>
      <x:c r="H8" s="52"/>
      <x:c r="I8" s="52"/>
      <x:c r="J8" s="52"/>
    </x:row>
    <x:row r="9">
      <x:c r="A9" s="16" t="str">
        <x:v>Kód panelu</x:v>
      </x:c>
      <x:c r="B9" s="16" t="str">
        <x:v>Rodina</x:v>
      </x:c>
      <x:c r="C9" s="16" t="str">
        <x:v>Minimum</x:v>
      </x:c>
      <x:c r="D9" s="16" t="str">
        <x:v>Medián</x:v>
      </x:c>
      <x:c r="E9" s="16" t="str">
        <x:v>Maximum</x:v>
      </x:c>
      <x:c r="F9" s="16" t="str">
        <x:v>Počet srovnání</x:v>
      </x:c>
      <x:c r="G9" s="16" t="str">
        <x:v>Kvalita shody</x:v>
      </x:c>
      <x:c r="H9" s="153"/>
      <x:c r="I9" s="153"/>
      <x:c r="J9" s="153"/>
    </x:row>
    <x:row r="10">
      <x:c r="A10" s="46" t="str">
        <x:v>OS_VF_01</x:v>
      </x:c>
      <x:c r="B10" s="46" t="str">
        <x:v>Obvodová stěna kontaktní (DNK 1.1)</x:v>
      </x:c>
      <x:c r="C10" s="55" t="n">
        <x:f>MIN(F25:F28)</x:f>
        <x:v>4638.53</x:v>
      </x:c>
      <x:c r="D10" s="55" t="n">
        <x:f>MEDIAN(F25:F28)</x:f>
        <x:v>6760.8</x:v>
      </x:c>
      <x:c r="E10" s="55" t="n">
        <x:f>MAX(F25:F28)</x:f>
        <x:v>8809.47</x:v>
      </x:c>
      <x:c r="F10" s="46" t="n">
        <x:v>4</x:v>
      </x:c>
      <x:c r="G10" s="46" t="str">
        <x:v>ORIENTAČNÍ</x:v>
      </x:c>
      <x:c r="H10" s="153"/>
      <x:c r="I10" s="153"/>
      <x:c r="J10" s="153"/>
    </x:row>
    <x:row r="11">
      <x:c r="A11" s="47" t="str">
        <x:v>OS_VF_02</x:v>
      </x:c>
      <x:c r="B11" s="47" t="str">
        <x:v>Obvodová stěna s modřínovým obkladem (DNK 1.2)</x:v>
      </x:c>
      <x:c r="C11" s="59" t="n">
        <x:f>MIN(F29:F32)</x:f>
        <x:v>8451.81</x:v>
      </x:c>
      <x:c r="D11" s="59" t="n">
        <x:f>MEDIAN(F29:F32)</x:f>
        <x:v>10631.685</x:v>
      </x:c>
      <x:c r="E11" s="59" t="n">
        <x:f>MAX(F29:F32)</x:f>
        <x:v>11484.27</x:v>
      </x:c>
      <x:c r="F11" s="47" t="n">
        <x:v>4</x:v>
      </x:c>
      <x:c r="G11" s="47" t="str">
        <x:v>ORIENTAČNÍ</x:v>
      </x:c>
      <x:c r="H11" s="153"/>
      <x:c r="I11" s="153"/>
      <x:c r="J11" s="153"/>
    </x:row>
    <x:row r="12">
      <x:c r="A12" s="47" t="str">
        <x:v>OS_VF_03</x:v>
      </x:c>
      <x:c r="B12" s="47" t="str">
        <x:v>Obvodová stěna Thermofasáda DP1</x:v>
      </x:c>
      <x:c r="C12" s="59" t="n">
        <x:f>MIN(F33:F36)</x:f>
        <x:v>7806.62</x:v>
      </x:c>
      <x:c r="D12" s="59" t="n">
        <x:f>MEDIAN(F33:F36)</x:f>
        <x:v>8799.54</x:v>
      </x:c>
      <x:c r="E12" s="59" t="n">
        <x:f>MAX(F33:F36)</x:f>
        <x:v>9938.36</x:v>
      </x:c>
      <x:c r="F12" s="47" t="n">
        <x:v>4</x:v>
      </x:c>
      <x:c r="G12" s="47" t="str">
        <x:v>ORIENTAČNÍ</x:v>
      </x:c>
      <x:c r="H12" s="153"/>
      <x:c r="I12" s="153"/>
      <x:c r="J12" s="153"/>
    </x:row>
    <x:row r="13">
      <x:c r="A13" s="47" t="str">
        <x:v>NS_VF_01</x:v>
      </x:c>
      <x:c r="B13" s="47" t="str">
        <x:v>Vnitřní nosná stěna 170 mm</x:v>
      </x:c>
      <x:c r="C13" s="59" t="n">
        <x:f>MIN(F37:F38)</x:f>
        <x:v>2455.57</x:v>
      </x:c>
      <x:c r="D13" s="59" t="n">
        <x:f>MEDIAN(F37:F38)</x:f>
        <x:v>3713.955</x:v>
      </x:c>
      <x:c r="E13" s="59" t="n">
        <x:f>MAX(F37:F38)</x:f>
        <x:v>4972.34</x:v>
      </x:c>
      <x:c r="F13" s="47" t="n">
        <x:v>2</x:v>
      </x:c>
      <x:c r="G13" s="47" t="str">
        <x:v>ORIENTAČNÍ</x:v>
      </x:c>
      <x:c r="H13" s="153"/>
      <x:c r="I13" s="153"/>
      <x:c r="J13" s="153"/>
    </x:row>
    <x:row r="14">
      <x:c r="A14" s="47" t="str">
        <x:v>DS_VF_01</x:v>
      </x:c>
      <x:c r="B14" s="47" t="str">
        <x:v>Akustická mezibytová dvojitá stěna 300 mm</x:v>
      </x:c>
      <x:c r="C14" s="59" t="n">
        <x:f>MIN(F39:F41)</x:f>
        <x:v>4521.5</x:v>
      </x:c>
      <x:c r="D14" s="59" t="n">
        <x:f>MEDIAN(F39:F41)</x:f>
        <x:v>6118.04</x:v>
      </x:c>
      <x:c r="E14" s="59" t="n">
        <x:f>MAX(F39:F41)</x:f>
        <x:v>7660.18</x:v>
      </x:c>
      <x:c r="F14" s="47" t="n">
        <x:v>3</x:v>
      </x:c>
      <x:c r="G14" s="47" t="str">
        <x:v>ORIENTAČNÍ</x:v>
      </x:c>
      <x:c r="H14" s="153"/>
      <x:c r="I14" s="153"/>
      <x:c r="J14" s="153"/>
    </x:row>
    <x:row r="15">
      <x:c r="A15" s="47" t="str">
        <x:v>PS_VF_01</x:v>
      </x:c>
      <x:c r="B15" s="47" t="str">
        <x:v>Vnitřní nenosná příčka 100 mm</x:v>
      </x:c>
      <x:c r="C15" s="59" t="n">
        <x:f>MIN(F42:F43)</x:f>
        <x:v>2030.67</x:v>
      </x:c>
      <x:c r="D15" s="59" t="n">
        <x:f>MEDIAN(F42:F43)</x:f>
        <x:v>2964.67</x:v>
      </x:c>
      <x:c r="E15" s="59" t="n">
        <x:f>MAX(F42:F43)</x:f>
        <x:v>3898.67</x:v>
      </x:c>
      <x:c r="F15" s="47" t="n">
        <x:v>2</x:v>
      </x:c>
      <x:c r="G15" s="47" t="str">
        <x:v>ORIENTAČNÍ</x:v>
      </x:c>
      <x:c r="H15" s="153"/>
      <x:c r="I15" s="153"/>
      <x:c r="J15" s="153"/>
    </x:row>
    <x:row r="16">
      <x:c r="A16" s="47" t="str">
        <x:v>STROP_RD</x:v>
      </x:c>
      <x:c r="B16" s="47" t="str">
        <x:v>Stropní dílec pro rodinné domy 432 mm</x:v>
      </x:c>
      <x:c r="C16" s="59" t="n">
        <x:f>MIN(F44:F46)</x:f>
        <x:v>5817.64</x:v>
      </x:c>
      <x:c r="D16" s="59" t="n">
        <x:f>MEDIAN(F44:F46)</x:f>
        <x:v>6019.06</x:v>
      </x:c>
      <x:c r="E16" s="59" t="n">
        <x:f>MAX(F44:F46)</x:f>
        <x:v>6667.45</x:v>
      </x:c>
      <x:c r="F16" s="47" t="n">
        <x:v>3</x:v>
      </x:c>
      <x:c r="G16" s="47" t="str">
        <x:v>ORIENTAČNÍ</x:v>
      </x:c>
      <x:c r="H16" s="153"/>
      <x:c r="I16" s="153"/>
      <x:c r="J16" s="153"/>
    </x:row>
    <x:row r="17">
      <x:c r="A17" s="47" t="str">
        <x:v>STROP_BD</x:v>
      </x:c>
      <x:c r="B17" s="47" t="str">
        <x:v>Akustický strop s voštinovým zásypem 492 mm</x:v>
      </x:c>
      <x:c r="C17" s="59" t="n">
        <x:f>MIN(F47:F49)</x:f>
        <x:v>5817.64</x:v>
      </x:c>
      <x:c r="D17" s="59" t="n">
        <x:f>MEDIAN(F47:F49)</x:f>
        <x:v>6019.06</x:v>
      </x:c>
      <x:c r="E17" s="59" t="n">
        <x:f>MAX(F47:F49)</x:f>
        <x:v>6667.45</x:v>
      </x:c>
      <x:c r="F17" s="47" t="n">
        <x:v>3</x:v>
      </x:c>
      <x:c r="G17" s="47" t="str">
        <x:v>ORIENTAČNÍ</x:v>
      </x:c>
      <x:c r="H17" s="153"/>
      <x:c r="I17" s="153"/>
      <x:c r="J17" s="153"/>
    </x:row>
    <x:row r="18">
      <x:c r="A18" s="47" t="str">
        <x:v>STRECHA_SIKMA</x:v>
      </x:c>
      <x:c r="B18" s="47" t="str">
        <x:v>Šikmá střecha s krokevní soustavou 455 mm</x:v>
      </x:c>
      <x:c r="C18" s="59" t="n">
        <x:f>MIN(F50:F52)</x:f>
        <x:v>4162.73</x:v>
      </x:c>
      <x:c r="D18" s="59" t="n">
        <x:f>MEDIAN(F50:F52)</x:f>
        <x:v>6196.76</x:v>
      </x:c>
      <x:c r="E18" s="59" t="n">
        <x:f>MAX(F50:F52)</x:f>
        <x:v>7122.2</x:v>
      </x:c>
      <x:c r="F18" s="47" t="n">
        <x:v>3</x:v>
      </x:c>
      <x:c r="G18" s="47" t="str">
        <x:v>ORIENTAČNÍ</x:v>
      </x:c>
      <x:c r="H18" s="153"/>
      <x:c r="I18" s="153"/>
      <x:c r="J18" s="153"/>
    </x:row>
    <x:row r="19">
      <x:c r="A19" s="47" t="str">
        <x:v>STRECHA_PLOCHA</x:v>
      </x:c>
      <x:c r="B19" s="47" t="str">
        <x:v>Plochá střecha se spádovou izolací 564.5 mm</x:v>
      </x:c>
      <x:c r="C19" s="59" t="n">
        <x:f>MIN(F53:F55)</x:f>
        <x:v>2417.54</x:v>
      </x:c>
      <x:c r="D19" s="59" t="n">
        <x:f>MEDIAN(F53:F55)</x:f>
        <x:v>6196.76</x:v>
      </x:c>
      <x:c r="E19" s="59" t="n">
        <x:f>MAX(F53:F55)</x:f>
        <x:v>7122.2</x:v>
      </x:c>
      <x:c r="F19" s="47" t="n">
        <x:v>3</x:v>
      </x:c>
      <x:c r="G19" s="47" t="str">
        <x:v>ORIENTAČNÍ</x:v>
      </x:c>
      <x:c r="H19" s="153"/>
      <x:c r="I19" s="153"/>
      <x:c r="J19" s="153"/>
    </x:row>
    <x:row r="20">
      <x:c r="A20" s="47" t="str">
        <x:v>PODLAHA_1NP</x:v>
      </x:c>
      <x:c r="B20" s="47" t="str">
        <x:v>Podlahový dílec 1.NP nad základovou deskou 170 mm</x:v>
      </x:c>
      <x:c r="C20" s="59"/>
      <x:c r="D20" s="59"/>
      <x:c r="E20" s="59"/>
      <x:c r="F20" s="47" t="n">
        <x:v>0</x:v>
      </x:c>
      <x:c r="G20" s="47" t="str">
        <x:v>NENÍ K DISPOZICI</x:v>
      </x:c>
      <x:c r="H20" s="153"/>
      <x:c r="I20" s="153"/>
      <x:c r="J20" s="153"/>
    </x:row>
    <x:row r="21">
      <x:c r="A21" s="153"/>
      <x:c r="B21" s="153"/>
      <x:c r="C21" s="153"/>
      <x:c r="D21" s="153"/>
      <x:c r="E21" s="153"/>
      <x:c r="F21" s="153"/>
      <x:c r="G21" s="153"/>
      <x:c r="H21" s="153"/>
      <x:c r="I21" s="153"/>
      <x:c r="J21" s="153"/>
    </x:row>
    <x:row r="22">
      <x:c r="A22" s="153"/>
      <x:c r="B22" s="153"/>
      <x:c r="C22" s="153"/>
      <x:c r="D22" s="153"/>
      <x:c r="E22" s="153"/>
      <x:c r="F22" s="153"/>
      <x:c r="G22" s="153"/>
      <x:c r="H22" s="153"/>
      <x:c r="I22" s="153"/>
      <x:c r="J22" s="153"/>
    </x:row>
    <x:row r="23">
      <x:c r="A23" s="52" t="str">
        <x:v>5.2 VYBRANÉ SROVNATELNÉ POLOŽKY</x:v>
      </x:c>
      <x:c r="B23" s="52"/>
      <x:c r="C23" s="52"/>
      <x:c r="D23" s="52"/>
      <x:c r="E23" s="52"/>
      <x:c r="F23" s="52"/>
      <x:c r="G23" s="52"/>
      <x:c r="H23" s="52"/>
      <x:c r="I23" s="52"/>
      <x:c r="J23" s="52"/>
    </x:row>
    <x:row r="24">
      <x:c r="A24" s="16" t="str">
        <x:v>Kód panelu</x:v>
      </x:c>
      <x:c r="B24" s="16" t="str">
        <x:v>Rodina VESPER</x:v>
      </x:c>
      <x:c r="C24" s="16" t="str">
        <x:v>Kód zdroje</x:v>
      </x:c>
      <x:c r="D24" s="16" t="str">
        <x:v>Popis srovnání</x:v>
      </x:c>
      <x:c r="E24" s="16" t="str">
        <x:v>Tloušťka mm</x:v>
      </x:c>
      <x:c r="F24" s="16" t="str">
        <x:v>Pořizovací cena</x:v>
      </x:c>
      <x:c r="G24" s="16" t="str">
        <x:v>Dodavatel</x:v>
      </x:c>
      <x:c r="H24" s="16" t="str">
        <x:v>Kvalita shody</x:v>
      </x:c>
      <x:c r="I24" s="16" t="str">
        <x:v>Typ ceny</x:v>
      </x:c>
      <x:c r="J24" s="16" t="str">
        <x:v>Zdroj</x:v>
      </x:c>
    </x:row>
    <x:row r="25">
      <x:c r="A25" s="46" t="str">
        <x:v>OS_VF_01</x:v>
      </x:c>
      <x:c r="B25" s="46" t="str">
        <x:v>Obvodová stěna kontaktní (DNK 1.1)</x:v>
      </x:c>
      <x:c r="C25" s="46" t="str">
        <x:v>PMA.W3</x:v>
      </x:c>
      <x:c r="D25" s="46" t="str">
        <x:v>Obvodový panel W3, difuzně otevřený</x:v>
      </x:c>
      <x:c r="E25" s="78" t="n">
        <x:v>357</x:v>
      </x:c>
      <x:c r="F25" s="55" t="n">
        <x:v>4638.53</x:v>
      </x:c>
      <x:c r="G25" s="46" t="str">
        <x:v>PILA MARTINICE</x:v>
      </x:c>
      <x:c r="H25" s="46" t="str">
        <x:v>STŘEDNÍ</x:v>
      </x:c>
      <x:c r="I25" s="46" t="str">
        <x:v>Pořizovací cena</x:v>
      </x:c>
      <x:c r="J25" s="46" t="str">
        <x:v>CS ÚRS 2026/02 | PDF 2026-07-28</x:v>
      </x:c>
    </x:row>
    <x:row r="26">
      <x:c r="A26" s="47" t="str">
        <x:v>OS_VF_01</x:v>
      </x:c>
      <x:c r="B26" s="47" t="str">
        <x:v>Obvodová stěna kontaktní (DNK 1.1)</x:v>
      </x:c>
      <x:c r="C26" s="47" t="str">
        <x:v>PMA.W5</x:v>
      </x:c>
      <x:c r="D26" s="47" t="str">
        <x:v>Obvodový panel W5</x:v>
      </x:c>
      <x:c r="E26" s="79" t="n">
        <x:v>365.5</x:v>
      </x:c>
      <x:c r="F26" s="59" t="n">
        <x:v>5697.3</x:v>
      </x:c>
      <x:c r="G26" s="47" t="str">
        <x:v>PILA MARTINICE</x:v>
      </x:c>
      <x:c r="H26" s="47" t="str">
        <x:v>STŘEDNÍ</x:v>
      </x:c>
      <x:c r="I26" s="47" t="str">
        <x:v>Pořizovací cena</x:v>
      </x:c>
      <x:c r="J26" s="47" t="str">
        <x:v>CS ÚRS 2026/02 | PDF 2026-07-28</x:v>
      </x:c>
    </x:row>
    <x:row r="27">
      <x:c r="A27" s="47" t="str">
        <x:v>OS_VF_01</x:v>
      </x:c>
      <x:c r="B27" s="47" t="str">
        <x:v>Obvodová stěna kontaktní (DNK 1.1)</x:v>
      </x:c>
      <x:c r="C27" s="47" t="str">
        <x:v>NEM.EKOBIG</x:v>
      </x:c>
      <x:c r="D27" s="47" t="str">
        <x:v>NEMA EKO BIG</x:v>
      </x:c>
      <x:c r="E27" s="79" t="n">
        <x:v>370.5</x:v>
      </x:c>
      <x:c r="F27" s="59" t="n">
        <x:v>7824.3</x:v>
      </x:c>
      <x:c r="G27" s="47" t="str">
        <x:v>Nema</x:v>
      </x:c>
      <x:c r="H27" s="47" t="str">
        <x:v>STŘEDNÍ</x:v>
      </x:c>
      <x:c r="I27" s="47" t="str">
        <x:v>Pořizovací cena</x:v>
      </x:c>
      <x:c r="J27" s="47" t="str">
        <x:v>CS ÚRS 2026/02 | PDF 2026-07-28</x:v>
      </x:c>
    </x:row>
    <x:row r="28">
      <x:c r="A28" s="47" t="str">
        <x:v>OS_VF_01</x:v>
      </x:c>
      <x:c r="B28" s="47" t="str">
        <x:v>Obvodová stěna kontaktní (DNK 1.1)</x:v>
      </x:c>
      <x:c r="C28" s="47" t="str">
        <x:v>NEM.KLASIKP</x:v>
      </x:c>
      <x:c r="D28" s="47" t="str">
        <x:v>NEMA KLASIK P</x:v>
      </x:c>
      <x:c r="E28" s="79" t="n">
        <x:v>313.7</x:v>
      </x:c>
      <x:c r="F28" s="59" t="n">
        <x:v>8809.47</x:v>
      </x:c>
      <x:c r="G28" s="47" t="str">
        <x:v>Nema</x:v>
      </x:c>
      <x:c r="H28" s="47" t="str">
        <x:v>STŘEDNÍ</x:v>
      </x:c>
      <x:c r="I28" s="47" t="str">
        <x:v>Pořizovací cena</x:v>
      </x:c>
      <x:c r="J28" s="47" t="str">
        <x:v>CS ÚRS 2026/02 | PDF 2026-07-28</x:v>
      </x:c>
    </x:row>
    <x:row r="29">
      <x:c r="A29" s="47" t="str">
        <x:v>OS_VF_02</x:v>
      </x:c>
      <x:c r="B29" s="47" t="str">
        <x:v>Obvodová stěna s modřínovým obkladem (DNK 1.2)</x:v>
      </x:c>
      <x:c r="C29" s="47" t="str">
        <x:v>NEM.EKOWOOD</x:v>
      </x:c>
      <x:c r="D29" s="47" t="str">
        <x:v>NEMA EKO WOOD</x:v>
      </x:c>
      <x:c r="E29" s="79" t="n">
        <x:v>346.9</x:v>
      </x:c>
      <x:c r="F29" s="59" t="n">
        <x:v>8451.81</x:v>
      </x:c>
      <x:c r="G29" s="47" t="str">
        <x:v>Nema</x:v>
      </x:c>
      <x:c r="H29" s="47" t="str">
        <x:v>STŘEDNÍ</x:v>
      </x:c>
      <x:c r="I29" s="47" t="str">
        <x:v>Pořizovací cena</x:v>
      </x:c>
      <x:c r="J29" s="47" t="str">
        <x:v>CS ÚRS 2026/02 | PDF 2026-07-28</x:v>
      </x:c>
    </x:row>
    <x:row r="30">
      <x:c r="A30" s="47" t="str">
        <x:v>OS_VF_02</x:v>
      </x:c>
      <x:c r="B30" s="47" t="str">
        <x:v>Obvodová stěna s modřínovým obkladem (DNK 1.2)</x:v>
      </x:c>
      <x:c r="C30" s="47" t="str">
        <x:v>NEM.MHMEKOWOOD</x:v>
      </x:c>
      <x:c r="D30" s="47" t="str">
        <x:v>NEMA MHM EKO WOOD</x:v>
      </x:c>
      <x:c r="E30" s="79" t="n">
        <x:v>373.3</x:v>
      </x:c>
      <x:c r="F30" s="59" t="n">
        <x:v>10297.72</x:v>
      </x:c>
      <x:c r="G30" s="47" t="str">
        <x:v>Nema</x:v>
      </x:c>
      <x:c r="H30" s="47" t="str">
        <x:v>STŘEDNÍ</x:v>
      </x:c>
      <x:c r="I30" s="47" t="str">
        <x:v>Pořizovací cena</x:v>
      </x:c>
      <x:c r="J30" s="47" t="str">
        <x:v>CS ÚRS 2026/02 | PDF 2026-07-28</x:v>
      </x:c>
    </x:row>
    <x:row r="31">
      <x:c r="A31" s="47" t="str">
        <x:v>OS_VF_02</x:v>
      </x:c>
      <x:c r="B31" s="47" t="str">
        <x:v>Obvodová stěna s modřínovým obkladem (DNK 1.2)</x:v>
      </x:c>
      <x:c r="C31" s="47" t="str">
        <x:v>NEM.CLTEKOWOOD</x:v>
      </x:c>
      <x:c r="D31" s="47" t="str">
        <x:v>NEMA CLT EKO WOOD</x:v>
      </x:c>
      <x:c r="E31" s="79" t="n">
        <x:v>421.9</x:v>
      </x:c>
      <x:c r="F31" s="59" t="n">
        <x:v>10965.65</x:v>
      </x:c>
      <x:c r="G31" s="47" t="str">
        <x:v>Nema</x:v>
      </x:c>
      <x:c r="H31" s="47" t="str">
        <x:v>STŘEDNÍ</x:v>
      </x:c>
      <x:c r="I31" s="47" t="str">
        <x:v>Pořizovací cena</x:v>
      </x:c>
      <x:c r="J31" s="47" t="str">
        <x:v>CS ÚRS 2026/02 | PDF 2026-07-28</x:v>
      </x:c>
    </x:row>
    <x:row r="32">
      <x:c r="A32" s="47" t="str">
        <x:v>OS_VF_02</x:v>
      </x:c>
      <x:c r="B32" s="47" t="str">
        <x:v>Obvodová stěna s modřínovým obkladem (DNK 1.2)</x:v>
      </x:c>
      <x:c r="C32" s="47" t="str">
        <x:v>NEM.CLTEKOWOODPOHLED</x:v>
      </x:c>
      <x:c r="D32" s="47" t="str">
        <x:v>NEMA CLT EKO WOOD pohledový</x:v>
      </x:c>
      <x:c r="E32" s="79" t="n">
        <x:v>369.4</x:v>
      </x:c>
      <x:c r="F32" s="59" t="n">
        <x:v>11484.27</x:v>
      </x:c>
      <x:c r="G32" s="47" t="str">
        <x:v>Nema</x:v>
      </x:c>
      <x:c r="H32" s="47" t="str">
        <x:v>STŘEDNÍ</x:v>
      </x:c>
      <x:c r="I32" s="47" t="str">
        <x:v>Pořizovací cena</x:v>
      </x:c>
      <x:c r="J32" s="47" t="str">
        <x:v>CS ÚRS 2026/02 | PDF 2026-07-28</x:v>
      </x:c>
    </x:row>
    <x:row r="33">
      <x:c r="A33" s="47" t="str">
        <x:v>OS_VF_03</x:v>
      </x:c>
      <x:c r="B33" s="47" t="str">
        <x:v>Obvodová stěna Thermofasáda DP1</x:v>
      </x:c>
      <x:c r="C33" s="47" t="str">
        <x:v>NEM.EKOFIRE</x:v>
      </x:c>
      <x:c r="D33" s="47" t="str">
        <x:v>NEMA EKO FIRE</x:v>
      </x:c>
      <x:c r="E33" s="79" t="n">
        <x:v>303</x:v>
      </x:c>
      <x:c r="F33" s="59" t="n">
        <x:v>7806.62</x:v>
      </x:c>
      <x:c r="G33" s="47" t="str">
        <x:v>Nema</x:v>
      </x:c>
      <x:c r="H33" s="47" t="str">
        <x:v>STŘEDNÍ</x:v>
      </x:c>
      <x:c r="I33" s="47" t="str">
        <x:v>Pořizovací cena</x:v>
      </x:c>
      <x:c r="J33" s="47" t="str">
        <x:v>CS ÚRS 2026/02 | PDF 2026-07-28</x:v>
      </x:c>
    </x:row>
    <x:row r="34">
      <x:c r="A34" s="47" t="str">
        <x:v>OS_VF_03</x:v>
      </x:c>
      <x:c r="B34" s="47" t="str">
        <x:v>Obvodová stěna Thermofasáda DP1</x:v>
      </x:c>
      <x:c r="C34" s="47" t="str">
        <x:v>NEM.EKOFIREPLUS</x:v>
      </x:c>
      <x:c r="D34" s="47" t="str">
        <x:v>NEMA EKO FIRE PLUS</x:v>
      </x:c>
      <x:c r="E34" s="79" t="n">
        <x:v>314</x:v>
      </x:c>
      <x:c r="F34" s="59" t="n">
        <x:v>8382.62</x:v>
      </x:c>
      <x:c r="G34" s="47" t="str">
        <x:v>Nema</x:v>
      </x:c>
      <x:c r="H34" s="47" t="str">
        <x:v>STŘEDNÍ</x:v>
      </x:c>
      <x:c r="I34" s="47" t="str">
        <x:v>Pořizovací cena</x:v>
      </x:c>
      <x:c r="J34" s="47" t="str">
        <x:v>CS ÚRS 2026/02 | PDF 2026-07-28</x:v>
      </x:c>
    </x:row>
    <x:row r="35">
      <x:c r="A35" s="47" t="str">
        <x:v>OS_VF_03</x:v>
      </x:c>
      <x:c r="B35" s="47" t="str">
        <x:v>Obvodová stěna Thermofasáda DP1</x:v>
      </x:c>
      <x:c r="C35" s="47" t="str">
        <x:v>NEM.KLASIKPFIREPLUS</x:v>
      </x:c>
      <x:c r="D35" s="47" t="str">
        <x:v>NEMA KLASIK P FIRE PLUS</x:v>
      </x:c>
      <x:c r="E35" s="79" t="n">
        <x:v>319.2</x:v>
      </x:c>
      <x:c r="F35" s="59" t="n">
        <x:v>9216.46</x:v>
      </x:c>
      <x:c r="G35" s="47" t="str">
        <x:v>Nema</x:v>
      </x:c>
      <x:c r="H35" s="47" t="str">
        <x:v>STŘEDNÍ</x:v>
      </x:c>
      <x:c r="I35" s="47" t="str">
        <x:v>Pořizovací cena</x:v>
      </x:c>
      <x:c r="J35" s="47" t="str">
        <x:v>CS ÚRS 2026/02 | PDF 2026-07-28</x:v>
      </x:c>
    </x:row>
    <x:row r="36">
      <x:c r="A36" s="47" t="str">
        <x:v>OS_VF_03</x:v>
      </x:c>
      <x:c r="B36" s="47" t="str">
        <x:v>Obvodová stěna Thermofasáda DP1</x:v>
      </x:c>
      <x:c r="C36" s="47" t="str">
        <x:v>NEM.EKOWOODFIREPLUS</x:v>
      </x:c>
      <x:c r="D36" s="47" t="str">
        <x:v>NEMA EKO WOOD FIRE PLUS</x:v>
      </x:c>
      <x:c r="E36" s="79" t="n">
        <x:v>370.4</x:v>
      </x:c>
      <x:c r="F36" s="59" t="n">
        <x:v>9938.36</x:v>
      </x:c>
      <x:c r="G36" s="47" t="str">
        <x:v>Nema</x:v>
      </x:c>
      <x:c r="H36" s="47" t="str">
        <x:v>NÍZKÁ</x:v>
      </x:c>
      <x:c r="I36" s="47" t="str">
        <x:v>Pořizovací cena</x:v>
      </x:c>
      <x:c r="J36" s="47" t="str">
        <x:v>CS ÚRS 2026/02 | PDF 2026-07-28</x:v>
      </x:c>
    </x:row>
    <x:row r="37">
      <x:c r="A37" s="47" t="str">
        <x:v>NS_VF_01</x:v>
      </x:c>
      <x:c r="B37" s="47" t="str">
        <x:v>Vnitřní nosná stěna 170 mm</x:v>
      </x:c>
      <x:c r="C37" s="47" t="str">
        <x:v>PMA.P3</x:v>
      </x:c>
      <x:c r="D37" s="47" t="str">
        <x:v>Vnitřní nosná příčka P3</x:v>
      </x:c>
      <x:c r="E37" s="79" t="n">
        <x:v>165</x:v>
      </x:c>
      <x:c r="F37" s="59" t="n">
        <x:v>2455.57</x:v>
      </x:c>
      <x:c r="G37" s="47" t="str">
        <x:v>PILA MARTINICE</x:v>
      </x:c>
      <x:c r="H37" s="47" t="str">
        <x:v>STŘEDNÍ</x:v>
      </x:c>
      <x:c r="I37" s="47" t="str">
        <x:v>Pořizovací cena</x:v>
      </x:c>
      <x:c r="J37" s="47" t="str">
        <x:v>CS ÚRS 2026/02 | PDF 2026-07-28</x:v>
      </x:c>
    </x:row>
    <x:row r="38">
      <x:c r="A38" s="47" t="str">
        <x:v>NS_VF_01</x:v>
      </x:c>
      <x:c r="B38" s="47" t="str">
        <x:v>Vnitřní nosná stěna 170 mm</x:v>
      </x:c>
      <x:c r="C38" s="47" t="str">
        <x:v>NEM.INNOSNA</x:v>
      </x:c>
      <x:c r="D38" s="47" t="str">
        <x:v>NEMA IN NOSNÁ</x:v>
      </x:c>
      <x:c r="E38" s="79" t="n">
        <x:v>185</x:v>
      </x:c>
      <x:c r="F38" s="59" t="n">
        <x:v>4972.34</x:v>
      </x:c>
      <x:c r="G38" s="47" t="str">
        <x:v>Nema</x:v>
      </x:c>
      <x:c r="H38" s="47" t="str">
        <x:v>STŘEDNÍ</x:v>
      </x:c>
      <x:c r="I38" s="47" t="str">
        <x:v>Pořizovací cena</x:v>
      </x:c>
      <x:c r="J38" s="47" t="str">
        <x:v>CS ÚRS 2026/02 | PDF 2026-07-28</x:v>
      </x:c>
    </x:row>
    <x:row r="39">
      <x:c r="A39" s="47" t="str">
        <x:v>DS_VF_01</x:v>
      </x:c>
      <x:c r="B39" s="47" t="str">
        <x:v>Akustická mezibytová dvojitá stěna 300 mm</x:v>
      </x:c>
      <x:c r="C39" s="47" t="str">
        <x:v>PMA.P6</x:v>
      </x:c>
      <x:c r="D39" s="47" t="str">
        <x:v>Oddělující stěna P6</x:v>
      </x:c>
      <x:c r="E39" s="79" t="n">
        <x:v>290</x:v>
      </x:c>
      <x:c r="F39" s="59" t="n">
        <x:v>4521.5</x:v>
      </x:c>
      <x:c r="G39" s="47" t="str">
        <x:v>PILA MARTINICE</x:v>
      </x:c>
      <x:c r="H39" s="47" t="str">
        <x:v>STŘEDNÍ</x:v>
      </x:c>
      <x:c r="I39" s="47" t="str">
        <x:v>Pořizovací cena</x:v>
      </x:c>
      <x:c r="J39" s="47" t="str">
        <x:v>CS ÚRS 2026/02 | PDF 2026-07-28</x:v>
      </x:c>
    </x:row>
    <x:row r="40">
      <x:c r="A40" s="47" t="str">
        <x:v>DS_VF_01</x:v>
      </x:c>
      <x:c r="B40" s="47" t="str">
        <x:v>Akustická mezibytová dvojitá stěna 300 mm</x:v>
      </x:c>
      <x:c r="C40" s="47" t="str">
        <x:v>PMA.P5</x:v>
      </x:c>
      <x:c r="D40" s="47" t="str">
        <x:v>Oddělující stěna P5</x:v>
      </x:c>
      <x:c r="E40" s="79" t="n">
        <x:v>370</x:v>
      </x:c>
      <x:c r="F40" s="59" t="n">
        <x:v>6118.04</x:v>
      </x:c>
      <x:c r="G40" s="47" t="str">
        <x:v>PILA MARTINICE</x:v>
      </x:c>
      <x:c r="H40" s="47" t="str">
        <x:v>STŘEDNÍ</x:v>
      </x:c>
      <x:c r="I40" s="47" t="str">
        <x:v>Pořizovací cena</x:v>
      </x:c>
      <x:c r="J40" s="47" t="str">
        <x:v>CS ÚRS 2026/02 | PDF 2026-07-28</x:v>
      </x:c>
    </x:row>
    <x:row r="41">
      <x:c r="A41" s="47" t="str">
        <x:v>DS_VF_01</x:v>
      </x:c>
      <x:c r="B41" s="47" t="str">
        <x:v>Akustická mezibytová dvojitá stěna 300 mm</x:v>
      </x:c>
      <x:c r="C41" s="47" t="str">
        <x:v>NEM.INAKUSTIK</x:v>
      </x:c>
      <x:c r="D41" s="47" t="str">
        <x:v>NEMA IN AKUSTIK</x:v>
      </x:c>
      <x:c r="E41" s="79" t="n">
        <x:v>210</x:v>
      </x:c>
      <x:c r="F41" s="59" t="n">
        <x:v>7660.18</x:v>
      </x:c>
      <x:c r="G41" s="47" t="str">
        <x:v>Nema</x:v>
      </x:c>
      <x:c r="H41" s="47" t="str">
        <x:v>NÍZKÁ</x:v>
      </x:c>
      <x:c r="I41" s="47" t="str">
        <x:v>Pořizovací cena</x:v>
      </x:c>
      <x:c r="J41" s="47" t="str">
        <x:v>CS ÚRS 2026/02 | PDF 2026-07-28</x:v>
      </x:c>
    </x:row>
    <x:row r="42">
      <x:c r="A42" s="47" t="str">
        <x:v>PS_VF_01</x:v>
      </x:c>
      <x:c r="B42" s="47" t="str">
        <x:v>Vnitřní nenosná příčka 100 mm</x:v>
      </x:c>
      <x:c r="C42" s="47" t="str">
        <x:v>PMA.P4</x:v>
      </x:c>
      <x:c r="D42" s="47" t="str">
        <x:v>Vnitřní nenosná příčka P4</x:v>
      </x:c>
      <x:c r="E42" s="79" t="n">
        <x:v>125</x:v>
      </x:c>
      <x:c r="F42" s="59" t="n">
        <x:v>2030.67</x:v>
      </x:c>
      <x:c r="G42" s="47" t="str">
        <x:v>PILA MARTINICE</x:v>
      </x:c>
      <x:c r="H42" s="47" t="str">
        <x:v>STŘEDNÍ</x:v>
      </x:c>
      <x:c r="I42" s="47" t="str">
        <x:v>Pořizovací cena</x:v>
      </x:c>
      <x:c r="J42" s="47" t="str">
        <x:v>CS ÚRS 2026/02 | PDF 2026-07-28</x:v>
      </x:c>
    </x:row>
    <x:row r="43">
      <x:c r="A43" s="47" t="str">
        <x:v>PS_VF_01</x:v>
      </x:c>
      <x:c r="B43" s="47" t="str">
        <x:v>Vnitřní nenosná příčka 100 mm</x:v>
      </x:c>
      <x:c r="C43" s="47" t="str">
        <x:v>NEM.INNENOSNA</x:v>
      </x:c>
      <x:c r="D43" s="47" t="str">
        <x:v>NEMA IN NENOSNÁ</x:v>
      </x:c>
      <x:c r="E43" s="79" t="n">
        <x:v>125</x:v>
      </x:c>
      <x:c r="F43" s="59" t="n">
        <x:v>3898.67</x:v>
      </x:c>
      <x:c r="G43" s="47" t="str">
        <x:v>Nema</x:v>
      </x:c>
      <x:c r="H43" s="47" t="str">
        <x:v>STŘEDNÍ</x:v>
      </x:c>
      <x:c r="I43" s="47" t="str">
        <x:v>Pořizovací cena</x:v>
      </x:c>
      <x:c r="J43" s="47" t="str">
        <x:v>CS ÚRS 2026/02 | PDF 2026-07-28</x:v>
      </x:c>
    </x:row>
    <x:row r="44">
      <x:c r="A44" s="47" t="str">
        <x:v>STROP_RD</x:v>
      </x:c>
      <x:c r="B44" s="47" t="str">
        <x:v>Stropní dílec pro rodinné domy 432 mm</x:v>
      </x:c>
      <x:c r="C44" s="47" t="str">
        <x:v>NEM.UP</x:v>
      </x:c>
      <x:c r="D44" s="47" t="str">
        <x:v>Stropní panel NEMA UP</x:v>
      </x:c>
      <x:c r="E44" s="79" t="n">
        <x:v>274.5</x:v>
      </x:c>
      <x:c r="F44" s="59" t="n">
        <x:v>5817.64</x:v>
      </x:c>
      <x:c r="G44" s="47" t="str">
        <x:v>Nema</x:v>
      </x:c>
      <x:c r="H44" s="47" t="str">
        <x:v>NÍZKÁ</x:v>
      </x:c>
      <x:c r="I44" s="47" t="str">
        <x:v>Pořizovací cena</x:v>
      </x:c>
      <x:c r="J44" s="47" t="str">
        <x:v>CS ÚRS 2026/02 | PDF 2026-07-28</x:v>
      </x:c>
    </x:row>
    <x:row r="45">
      <x:c r="A45" s="47" t="str">
        <x:v>STROP_RD</x:v>
      </x:c>
      <x:c r="B45" s="47" t="str">
        <x:v>Stropní dílec pro rodinné domy 432 mm</x:v>
      </x:c>
      <x:c r="C45" s="47" t="str">
        <x:v>PMA.C2A</x:v>
      </x:c>
      <x:c r="D45" s="47" t="str">
        <x:v>Dřevobetonový spřažený strop C2a</x:v>
      </x:c>
      <x:c r="E45" s="79" t="n">
        <x:v>400</x:v>
      </x:c>
      <x:c r="F45" s="59" t="n">
        <x:v>6019.06</x:v>
      </x:c>
      <x:c r="G45" s="47" t="str">
        <x:v>PILA MARTINICE</x:v>
      </x:c>
      <x:c r="H45" s="47" t="str">
        <x:v>STŘEDNÍ</x:v>
      </x:c>
      <x:c r="I45" s="47" t="str">
        <x:v>Pořizovací cena</x:v>
      </x:c>
      <x:c r="J45" s="47" t="str">
        <x:v>CS ÚRS 2026/02 | PDF 2026-07-28</x:v>
      </x:c>
    </x:row>
    <x:row r="46">
      <x:c r="A46" s="47" t="str">
        <x:v>STROP_RD</x:v>
      </x:c>
      <x:c r="B46" s="47" t="str">
        <x:v>Stropní dílec pro rodinné domy 432 mm</x:v>
      </x:c>
      <x:c r="C46" s="47" t="str">
        <x:v>PMA.C2B</x:v>
      </x:c>
      <x:c r="D46" s="47" t="str">
        <x:v>Dřevobetonový spřažený strop C2b</x:v>
      </x:c>
      <x:c r="E46" s="79" t="n">
        <x:v>412.5</x:v>
      </x:c>
      <x:c r="F46" s="59" t="n">
        <x:v>6667.45</x:v>
      </x:c>
      <x:c r="G46" s="47" t="str">
        <x:v>PILA MARTINICE</x:v>
      </x:c>
      <x:c r="H46" s="47" t="str">
        <x:v>STŘEDNÍ</x:v>
      </x:c>
      <x:c r="I46" s="47" t="str">
        <x:v>Pořizovací cena</x:v>
      </x:c>
      <x:c r="J46" s="47" t="str">
        <x:v>CS ÚRS 2026/02 | PDF 2026-07-28</x:v>
      </x:c>
    </x:row>
    <x:row r="47">
      <x:c r="A47" s="47" t="str">
        <x:v>STROP_BD</x:v>
      </x:c>
      <x:c r="B47" s="47" t="str">
        <x:v>Akustický strop s voštinovým zásypem 492 mm</x:v>
      </x:c>
      <x:c r="C47" s="47" t="str">
        <x:v>NEM.UP</x:v>
      </x:c>
      <x:c r="D47" s="47" t="str">
        <x:v>Stropní panel NEMA UP</x:v>
      </x:c>
      <x:c r="E47" s="79" t="n">
        <x:v>274.5</x:v>
      </x:c>
      <x:c r="F47" s="59" t="n">
        <x:v>5817.64</x:v>
      </x:c>
      <x:c r="G47" s="47" t="str">
        <x:v>Nema</x:v>
      </x:c>
      <x:c r="H47" s="47" t="str">
        <x:v>NÍZKÁ</x:v>
      </x:c>
      <x:c r="I47" s="47" t="str">
        <x:v>Pořizovací cena</x:v>
      </x:c>
      <x:c r="J47" s="47" t="str">
        <x:v>CS ÚRS 2026/02 | PDF 2026-07-28</x:v>
      </x:c>
    </x:row>
    <x:row r="48">
      <x:c r="A48" s="47" t="str">
        <x:v>STROP_BD</x:v>
      </x:c>
      <x:c r="B48" s="47" t="str">
        <x:v>Akustický strop s voštinovým zásypem 492 mm</x:v>
      </x:c>
      <x:c r="C48" s="47" t="str">
        <x:v>PMA.C2A</x:v>
      </x:c>
      <x:c r="D48" s="47" t="str">
        <x:v>Dřevobetonový spřažený strop C2a</x:v>
      </x:c>
      <x:c r="E48" s="79" t="n">
        <x:v>400</x:v>
      </x:c>
      <x:c r="F48" s="59" t="n">
        <x:v>6019.06</x:v>
      </x:c>
      <x:c r="G48" s="47" t="str">
        <x:v>PILA MARTINICE</x:v>
      </x:c>
      <x:c r="H48" s="47" t="str">
        <x:v>NÍZKÁ</x:v>
      </x:c>
      <x:c r="I48" s="47" t="str">
        <x:v>Pořizovací cena</x:v>
      </x:c>
      <x:c r="J48" s="47" t="str">
        <x:v>CS ÚRS 2026/02 | PDF 2026-07-28</x:v>
      </x:c>
    </x:row>
    <x:row r="49">
      <x:c r="A49" s="47" t="str">
        <x:v>STROP_BD</x:v>
      </x:c>
      <x:c r="B49" s="47" t="str">
        <x:v>Akustický strop s voštinovým zásypem 492 mm</x:v>
      </x:c>
      <x:c r="C49" s="47" t="str">
        <x:v>PMA.C2B</x:v>
      </x:c>
      <x:c r="D49" s="47" t="str">
        <x:v>Dřevobetonový spřažený strop C2b</x:v>
      </x:c>
      <x:c r="E49" s="79" t="n">
        <x:v>412.5</x:v>
      </x:c>
      <x:c r="F49" s="59" t="n">
        <x:v>6667.45</x:v>
      </x:c>
      <x:c r="G49" s="47" t="str">
        <x:v>PILA MARTINICE</x:v>
      </x:c>
      <x:c r="H49" s="47" t="str">
        <x:v>NÍZKÁ</x:v>
      </x:c>
      <x:c r="I49" s="47" t="str">
        <x:v>Pořizovací cena</x:v>
      </x:c>
      <x:c r="J49" s="47" t="str">
        <x:v>CS ÚRS 2026/02 | PDF 2026-07-28</x:v>
      </x:c>
    </x:row>
    <x:row r="50">
      <x:c r="A50" s="47" t="str">
        <x:v>STRECHA_SIKMA</x:v>
      </x:c>
      <x:c r="B50" s="47" t="str">
        <x:v>Šikmá střecha s krokevní soustavou 455 mm</x:v>
      </x:c>
      <x:c r="C50" s="47" t="str">
        <x:v>PMA.R1</x:v>
      </x:c>
      <x:c r="D50" s="47" t="str">
        <x:v>Střešní panel R1, difuzně otevřený</x:v>
      </x:c>
      <x:c r="E50" s="79" t="n">
        <x:v>372.5</x:v>
      </x:c>
      <x:c r="F50" s="59" t="n">
        <x:v>4162.73</x:v>
      </x:c>
      <x:c r="G50" s="47" t="str">
        <x:v>PILA MARTINICE</x:v>
      </x:c>
      <x:c r="H50" s="47" t="str">
        <x:v>STŘEDNÍ</x:v>
      </x:c>
      <x:c r="I50" s="47" t="str">
        <x:v>Pořizovací cena</x:v>
      </x:c>
      <x:c r="J50" s="47" t="str">
        <x:v>CS ÚRS 2026/02 | PDF 2026-07-28</x:v>
      </x:c>
    </x:row>
    <x:row r="51">
      <x:c r="A51" s="47" t="str">
        <x:v>STRECHA_SIKMA</x:v>
      </x:c>
      <x:c r="B51" s="47" t="str">
        <x:v>Šikmá střecha s krokevní soustavou 455 mm</x:v>
      </x:c>
      <x:c r="C51" s="47" t="str">
        <x:v>NEM.ROOF</x:v>
      </x:c>
      <x:c r="D51" s="47" t="str">
        <x:v>NEMA ROOF</x:v>
      </x:c>
      <x:c r="E51" s="79" t="n">
        <x:v>410</x:v>
      </x:c>
      <x:c r="F51" s="59" t="n">
        <x:v>6196.76</x:v>
      </x:c>
      <x:c r="G51" s="47" t="str">
        <x:v>Nema</x:v>
      </x:c>
      <x:c r="H51" s="47" t="str">
        <x:v>STŘEDNÍ</x:v>
      </x:c>
      <x:c r="I51" s="47" t="str">
        <x:v>Pořizovací cena</x:v>
      </x:c>
      <x:c r="J51" s="47" t="str">
        <x:v>CS ÚRS 2026/02 | PDF 2026-07-28</x:v>
      </x:c>
    </x:row>
    <x:row r="52">
      <x:c r="A52" s="47" t="str">
        <x:v>STRECHA_SIKMA</x:v>
      </x:c>
      <x:c r="B52" s="47" t="str">
        <x:v>Šikmá střecha s krokevní soustavou 455 mm</x:v>
      </x:c>
      <x:c r="C52" s="47" t="str">
        <x:v>NEM.ROOFPASIV</x:v>
      </x:c>
      <x:c r="D52" s="47" t="str">
        <x:v>NEMA ROOF PASIV</x:v>
      </x:c>
      <x:c r="E52" s="79" t="n">
        <x:v>533</x:v>
      </x:c>
      <x:c r="F52" s="59" t="n">
        <x:v>7122.2</x:v>
      </x:c>
      <x:c r="G52" s="47" t="str">
        <x:v>Nema</x:v>
      </x:c>
      <x:c r="H52" s="47" t="str">
        <x:v>STŘEDNÍ</x:v>
      </x:c>
      <x:c r="I52" s="47" t="str">
        <x:v>Pořizovací cena</x:v>
      </x:c>
      <x:c r="J52" s="47" t="str">
        <x:v>CS ÚRS 2026/02 | PDF 2026-07-28</x:v>
      </x:c>
    </x:row>
    <x:row r="53">
      <x:c r="A53" s="47" t="str">
        <x:v>STRECHA_PLOCHA</x:v>
      </x:c>
      <x:c r="B53" s="47" t="str">
        <x:v>Plochá střecha se spádovou izolací 564.5 mm</x:v>
      </x:c>
      <x:c r="C53" s="47" t="str">
        <x:v>PMA.R2</x:v>
      </x:c>
      <x:c r="D53" s="47" t="str">
        <x:v>Střešní panel R2 pro dokončení jednoplášťové střechy</x:v>
      </x:c>
      <x:c r="E53" s="79" t="n">
        <x:v>242</x:v>
      </x:c>
      <x:c r="F53" s="59" t="n">
        <x:v>2417.54</x:v>
      </x:c>
      <x:c r="G53" s="47" t="str">
        <x:v>PILA MARTINICE</x:v>
      </x:c>
      <x:c r="H53" s="47" t="str">
        <x:v>NÍZKÁ</x:v>
      </x:c>
      <x:c r="I53" s="47" t="str">
        <x:v>Pořizovací cena</x:v>
      </x:c>
      <x:c r="J53" s="47" t="str">
        <x:v>CS ÚRS 2026/02 | PDF 2026-07-28</x:v>
      </x:c>
    </x:row>
    <x:row r="54">
      <x:c r="A54" s="47" t="str">
        <x:v>STRECHA_PLOCHA</x:v>
      </x:c>
      <x:c r="B54" s="47" t="str">
        <x:v>Plochá střecha se spádovou izolací 564.5 mm</x:v>
      </x:c>
      <x:c r="C54" s="47" t="str">
        <x:v>NEM.ROOF</x:v>
      </x:c>
      <x:c r="D54" s="47" t="str">
        <x:v>NEMA ROOF</x:v>
      </x:c>
      <x:c r="E54" s="79" t="n">
        <x:v>410</x:v>
      </x:c>
      <x:c r="F54" s="59" t="n">
        <x:v>6196.76</x:v>
      </x:c>
      <x:c r="G54" s="47" t="str">
        <x:v>Nema</x:v>
      </x:c>
      <x:c r="H54" s="47" t="str">
        <x:v>NÍZKÁ</x:v>
      </x:c>
      <x:c r="I54" s="47" t="str">
        <x:v>Pořizovací cena</x:v>
      </x:c>
      <x:c r="J54" s="47" t="str">
        <x:v>CS ÚRS 2026/02 | PDF 2026-07-28</x:v>
      </x:c>
    </x:row>
    <x:row r="55">
      <x:c r="A55" s="47" t="str">
        <x:v>STRECHA_PLOCHA</x:v>
      </x:c>
      <x:c r="B55" s="47" t="str">
        <x:v>Plochá střecha se spádovou izolací 564.5 mm</x:v>
      </x:c>
      <x:c r="C55" s="47" t="str">
        <x:v>NEM.ROOFPASIV</x:v>
      </x:c>
      <x:c r="D55" s="47" t="str">
        <x:v>NEMA ROOF PASIV</x:v>
      </x:c>
      <x:c r="E55" s="79" t="n">
        <x:v>533</x:v>
      </x:c>
      <x:c r="F55" s="59" t="n">
        <x:v>7122.2</x:v>
      </x:c>
      <x:c r="G55" s="47" t="str">
        <x:v>Nema</x:v>
      </x:c>
      <x:c r="H55" s="47" t="str">
        <x:v>NÍZKÁ</x:v>
      </x:c>
      <x:c r="I55" s="47" t="str">
        <x:v>Pořizovací cena</x:v>
      </x:c>
      <x:c r="J55" s="47" t="str">
        <x:v>CS ÚRS 2026/02 | PDF 2026-07-28</x:v>
      </x:c>
    </x:row>
  </x:sheetData>
  <x:mergeCells>
    <x:mergeCell ref="A1:J1"/>
    <x:mergeCell ref="A2:J2"/>
    <x:mergeCell ref="A4:J5"/>
    <x:mergeCell ref="B6:J6"/>
    <x:mergeCell ref="A8:J8"/>
    <x:mergeCell ref="A23:J23"/>
  </x:mergeCells>
  <x:conditionalFormatting sqref="G10:G20">
    <x:cfRule type="containsText" dxfId="24" priority="1" operator="containsText" text="PŘIPRAVENO"/>
    <x:cfRule type="containsText" dxfId="25" priority="2" operator="containsText" text="AKTIVNÍ"/>
    <x:cfRule type="containsText" dxfId="26" priority="3" operator="containsText" text="BLOKOVÁNO"/>
    <x:cfRule type="containsText" dxfId="27" priority="4" operator="containsText" text="CHYBÍ"/>
    <x:cfRule type="containsText" dxfId="28" priority="5" operator="containsText" text="DOPLNIT"/>
    <x:cfRule type="containsText" dxfId="29" priority="6" operator="containsText" text="PROVIZORNÍ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40" t="str">
        <x:v>VESPER FRAMES — ZAKÁZKOVÁ A MARŽOVÁ KALKULAČKA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25" customHeight="1">
      <x:c r="A2" s="6" t="str">
        <x:v>Sleva se uplatní jen na panely a pouze tehdy, když jsou všechny nákladové brány potvrzené.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</x:row>
    <x:row r="4">
      <x:c r="A4" s="129" t="str">
        <x:v>ID zakázky</x:v>
      </x:c>
      <x:c r="B4" s="56" t="str">
        <x:v>MODEL_01</x:v>
      </x:c>
      <x:c r="C4" s="153"/>
      <x:c r="D4" s="129" t="str">
        <x:v>Zóna dopravy</x:v>
      </x:c>
      <x:c r="E4" s="56" t="str">
        <x:v>TRANSPORT_Z3</x:v>
      </x:c>
      <x:c r="F4" s="153"/>
      <x:c r="G4" s="153"/>
      <x:c r="H4" s="153"/>
      <x:c r="I4" s="153"/>
      <x:c r="J4" s="153"/>
    </x:row>
    <x:row r="5">
      <x:c r="A5" s="130" t="str">
        <x:v>Požadovaná sleva z panelů</x:v>
      </x:c>
      <x:c r="B5" s="51" t="n">
        <x:v>0</x:v>
      </x:c>
      <x:c r="C5" s="153"/>
      <x:c r="D5" s="130" t="str">
        <x:v>Počet kamionů</x:v>
      </x:c>
      <x:c r="E5" s="49" t="n">
        <x:v>3</x:v>
      </x:c>
      <x:c r="F5" s="153"/>
      <x:c r="G5" s="153"/>
      <x:c r="H5" s="153"/>
      <x:c r="I5" s="153"/>
      <x:c r="J5" s="153"/>
    </x:row>
    <x:row r="6">
      <x:c r="A6" s="130" t="str">
        <x:v>Max. přípustná sleva</x:v>
      </x:c>
      <x:c r="B6" s="131" t="n">
        <x:f>IF(E23&gt;0,MAX(0,1-G23/(E23*(1-'2. Vstupy'!$B$18))),0)</x:f>
        <x:v>0.1875</x:v>
      </x:c>
      <x:c r="C6" s="153"/>
      <x:c r="D6" s="130" t="str">
        <x:v>Výchozí DPH</x:v>
      </x:c>
      <x:c r="E6" s="131" t="n">
        <x:f>'2. Vstupy'!$B$19</x:f>
        <x:v>0.12</x:v>
      </x:c>
      <x:c r="F6" s="153"/>
      <x:c r="G6" s="153"/>
      <x:c r="H6" s="153"/>
      <x:c r="I6" s="153"/>
      <x:c r="J6" s="153"/>
    </x:row>
    <x:row r="7">
      <x:c r="A7" s="130" t="str">
        <x:v>Efektivní sleva</x:v>
      </x:c>
      <x:c r="B7" s="131" t="n">
        <x:f>IF('2. Vstupy'!$B$14="AKTIVNÍ",MIN(B5,B6),0)</x:f>
        <x:v>0</x:v>
      </x:c>
      <x:c r="C7" s="153"/>
      <x:c r="D7" s="130" t="str">
        <x:v>Daňový režim ověřen</x:v>
      </x:c>
      <x:c r="E7" s="47" t="str">
        <x:f>'2. Vstupy'!$B$20</x:f>
        <x:v>NE</x:v>
      </x:c>
      <x:c r="F7" s="153"/>
      <x:c r="G7" s="153"/>
      <x:c r="H7" s="153"/>
      <x:c r="I7" s="153"/>
      <x:c r="J7" s="153"/>
    </x:row>
    <x:row r="8">
      <x:c r="A8" s="130" t="str">
        <x:v>Stav slevy</x:v>
      </x:c>
      <x:c r="B8" s="47" t="str">
        <x:f>'2. Vstupy'!$B$14</x:f>
        <x:v>BLOKOVÁNO</x:v>
      </x:c>
      <x:c r="C8" s="153"/>
      <x:c r="D8" s="130" t="str">
        <x:v>Stav modelu</x:v>
      </x:c>
      <x:c r="E8" s="47" t="str">
        <x:f>'2. Vstupy'!$B$13</x:f>
        <x:v>PROVIZORNÍ – SLEVY BLOKOVÁNY</x:v>
      </x:c>
      <x:c r="F8" s="153"/>
      <x:c r="G8" s="153"/>
      <x:c r="H8" s="153"/>
      <x:c r="I8" s="153"/>
      <x:c r="J8" s="153"/>
    </x:row>
    <x:row r="9">
      <x:c r="A9" s="153"/>
      <x:c r="B9" s="153"/>
      <x:c r="C9" s="153"/>
      <x:c r="D9" s="153"/>
      <x:c r="E9" s="153"/>
      <x:c r="F9" s="153"/>
      <x:c r="G9" s="153"/>
      <x:c r="H9" s="153"/>
      <x:c r="I9" s="153"/>
      <x:c r="J9" s="153"/>
    </x:row>
    <x:row r="10">
      <x:c r="A10" s="52" t="str">
        <x:v>6.1 PANELY V ZAKÁZCE</x:v>
      </x:c>
      <x:c r="B10" s="52"/>
      <x:c r="C10" s="52"/>
      <x:c r="D10" s="52"/>
      <x:c r="E10" s="52"/>
      <x:c r="F10" s="52"/>
      <x:c r="G10" s="52"/>
      <x:c r="H10" s="52"/>
      <x:c r="I10" s="52"/>
      <x:c r="J10" s="52"/>
    </x:row>
    <x:row r="11">
      <x:c r="A11" s="16" t="str">
        <x:v>Kód</x:v>
      </x:c>
      <x:c r="B11" s="16" t="str">
        <x:v>Panel</x:v>
      </x:c>
      <x:c r="C11" s="16" t="str">
        <x:v>Výměra m²</x:v>
      </x:c>
      <x:c r="D11" s="16" t="str">
        <x:v>Cílová cena/m²</x:v>
      </x:c>
      <x:c r="E11" s="16" t="str">
        <x:v>Ceníková cena</x:v>
      </x:c>
      <x:c r="F11" s="16" t="str">
        <x:v>Přímý náklad/m²</x:v>
      </x:c>
      <x:c r="G11" s="16" t="str">
        <x:v>Přímý náklad</x:v>
      </x:c>
      <x:c r="H11" s="16" t="str">
        <x:v>Cena po slevě</x:v>
      </x:c>
      <x:c r="I11" s="16" t="str">
        <x:v>Marže po slevě</x:v>
      </x:c>
      <x:c r="J11" s="16" t="str">
        <x:v>Stav nákladu</x:v>
      </x:c>
    </x:row>
    <x:row r="12">
      <x:c r="A12" s="46" t="str">
        <x:v>OS_VF_01</x:v>
      </x:c>
      <x:c r="B12" s="46" t="str">
        <x:v>Obvodová stěna kontaktní (DNK 1.1)</x:v>
      </x:c>
      <x:c r="C12" s="132" t="n">
        <x:v>180</x:v>
      </x:c>
      <x:c r="D12" s="55" t="n">
        <x:f>INDEX('3. Ceník'!$J$6:$J$16,MATCH(A12,'3. Ceník'!$A$6:$A$16,0))</x:f>
        <x:v>4438.975384615384</x:v>
      </x:c>
      <x:c r="E12" s="55" t="n">
        <x:f>C12*D12</x:f>
        <x:v>799015.5692307692</x:v>
      </x:c>
      <x:c r="F12" s="55" t="n">
        <x:f>INDEX('3. Ceník'!$H$6:$H$16,MATCH(A12,'3. Ceník'!$A$6:$A$16,0))</x:f>
        <x:v>2885.334</x:v>
      </x:c>
      <x:c r="G12" s="55" t="n">
        <x:f>C12*F12</x:f>
        <x:v>519360.12</x:v>
      </x:c>
      <x:c r="H12" s="55" t="n">
        <x:f>E12*(1-$B$7)</x:f>
        <x:v>799015.5692307692</x:v>
      </x:c>
      <x:c r="I12" s="133" t="n">
        <x:f>IF(H12&gt;0,(H12-G12)/H12,0)</x:f>
        <x:v>0.35</x:v>
      </x:c>
      <x:c r="J12" s="46" t="str">
        <x:f>INDEX('3. Ceník'!$O$6:$O$16,MATCH(A12,'3. Ceník'!$A$6:$A$16,0))</x:f>
        <x:v>PROVIZORNÍ</x:v>
      </x:c>
    </x:row>
    <x:row r="13">
      <x:c r="A13" s="47" t="str">
        <x:v>OS_VF_02</x:v>
      </x:c>
      <x:c r="B13" s="47" t="str">
        <x:v>Obvodová stěna s modřínovým obkladem (DNK 1.2)</x:v>
      </x:c>
      <x:c r="C13" s="134" t="n">
        <x:v>0</x:v>
      </x:c>
      <x:c r="D13" s="59" t="n">
        <x:f>INDEX('3. Ceník'!$J$6:$J$16,MATCH(A13,'3. Ceník'!$A$6:$A$16,0))</x:f>
        <x:v>6101.746153846154</x:v>
      </x:c>
      <x:c r="E13" s="59" t="n">
        <x:f>C13*D13</x:f>
        <x:v>0</x:v>
      </x:c>
      <x:c r="F13" s="59" t="n">
        <x:f>INDEX('3. Ceník'!$H$6:$H$16,MATCH(A13,'3. Ceník'!$A$6:$A$16,0))</x:f>
        <x:v>3966.135</x:v>
      </x:c>
      <x:c r="G13" s="59" t="n">
        <x:f>C13*F13</x:f>
        <x:v>0</x:v>
      </x:c>
      <x:c r="H13" s="59" t="n">
        <x:f>E13*(1-$B$7)</x:f>
        <x:v>0</x:v>
      </x:c>
      <x:c r="I13" s="131" t="n">
        <x:f>IF(H13&gt;0,(H13-G13)/H13,0)</x:f>
        <x:v>0</x:v>
      </x:c>
      <x:c r="J13" s="47" t="str">
        <x:f>INDEX('3. Ceník'!$O$6:$O$16,MATCH(A13,'3. Ceník'!$A$6:$A$16,0))</x:f>
        <x:v>PROVIZORNÍ</x:v>
      </x:c>
    </x:row>
    <x:row r="14">
      <x:c r="A14" s="47" t="str">
        <x:v>OS_VF_03</x:v>
      </x:c>
      <x:c r="B14" s="47" t="str">
        <x:v>Obvodová stěna Thermofasáda DP1</x:v>
      </x:c>
      <x:c r="C14" s="134" t="n">
        <x:v>0</x:v>
      </x:c>
      <x:c r="D14" s="59" t="n">
        <x:f>INDEX('3. Ceník'!$J$6:$J$16,MATCH(A14,'3. Ceník'!$A$6:$A$16,0))</x:f>
        <x:v>6424.763076923077</x:v>
      </x:c>
      <x:c r="E14" s="59" t="n">
        <x:f>C14*D14</x:f>
        <x:v>0</x:v>
      </x:c>
      <x:c r="F14" s="59" t="n">
        <x:f>INDEX('3. Ceník'!$H$6:$H$16,MATCH(A14,'3. Ceník'!$A$6:$A$16,0))</x:f>
        <x:v>4176.0960000000005</x:v>
      </x:c>
      <x:c r="G14" s="59" t="n">
        <x:f>C14*F14</x:f>
        <x:v>0</x:v>
      </x:c>
      <x:c r="H14" s="59" t="n">
        <x:f>E14*(1-$B$7)</x:f>
        <x:v>0</x:v>
      </x:c>
      <x:c r="I14" s="131" t="n">
        <x:f>IF(H14&gt;0,(H14-G14)/H14,0)</x:f>
        <x:v>0</x:v>
      </x:c>
      <x:c r="J14" s="47" t="str">
        <x:f>INDEX('3. Ceník'!$O$6:$O$16,MATCH(A14,'3. Ceník'!$A$6:$A$16,0))</x:f>
        <x:v>PROVIZORNÍ</x:v>
      </x:c>
    </x:row>
    <x:row r="15">
      <x:c r="A15" s="47" t="str">
        <x:v>NS_VF_01</x:v>
      </x:c>
      <x:c r="B15" s="47" t="str">
        <x:v>Vnitřní nosná stěna 170 mm</x:v>
      </x:c>
      <x:c r="C15" s="134" t="n">
        <x:v>65</x:v>
      </x:c>
      <x:c r="D15" s="59" t="n">
        <x:f>INDEX('3. Ceník'!$J$6:$J$16,MATCH(A15,'3. Ceník'!$A$6:$A$16,0))</x:f>
        <x:v>2167.26</x:v>
      </x:c>
      <x:c r="E15" s="59" t="n">
        <x:f>C15*D15</x:f>
        <x:v>140871.90000000002</x:v>
      </x:c>
      <x:c r="F15" s="59" t="n">
        <x:f>INDEX('3. Ceník'!$H$6:$H$16,MATCH(A15,'3. Ceník'!$A$6:$A$16,0))</x:f>
        <x:v>1408.719</x:v>
      </x:c>
      <x:c r="G15" s="59" t="n">
        <x:f>C15*F15</x:f>
        <x:v>91566.735</x:v>
      </x:c>
      <x:c r="H15" s="59" t="n">
        <x:f>E15*(1-$B$7)</x:f>
        <x:v>140871.90000000002</x:v>
      </x:c>
      <x:c r="I15" s="131" t="n">
        <x:f>IF(H15&gt;0,(H15-G15)/H15,0)</x:f>
        <x:v>0.3500000000000001</x:v>
      </x:c>
      <x:c r="J15" s="47" t="str">
        <x:f>INDEX('3. Ceník'!$O$6:$O$16,MATCH(A15,'3. Ceník'!$A$6:$A$16,0))</x:f>
        <x:v>PROVIZORNÍ</x:v>
      </x:c>
    </x:row>
    <x:row r="16">
      <x:c r="A16" s="47" t="str">
        <x:v>DS_VF_01</x:v>
      </x:c>
      <x:c r="B16" s="47" t="str">
        <x:v>Akustická mezibytová dvojitá stěna 300 mm</x:v>
      </x:c>
      <x:c r="C16" s="134" t="n">
        <x:v>0</x:v>
      </x:c>
      <x:c r="D16" s="59" t="n">
        <x:f>INDEX('3. Ceník'!$J$6:$J$16,MATCH(A16,'3. Ceník'!$A$6:$A$16,0))</x:f>
        <x:v>2935.726153846154</x:v>
      </x:c>
      <x:c r="E16" s="59" t="n">
        <x:f>C16*D16</x:f>
        <x:v>0</x:v>
      </x:c>
      <x:c r="F16" s="59" t="n">
        <x:f>INDEX('3. Ceník'!$H$6:$H$16,MATCH(A16,'3. Ceník'!$A$6:$A$16,0))</x:f>
        <x:v>1908.222</x:v>
      </x:c>
      <x:c r="G16" s="59" t="n">
        <x:f>C16*F16</x:f>
        <x:v>0</x:v>
      </x:c>
      <x:c r="H16" s="59" t="n">
        <x:f>E16*(1-$B$7)</x:f>
        <x:v>0</x:v>
      </x:c>
      <x:c r="I16" s="131" t="n">
        <x:f>IF(H16&gt;0,(H16-G16)/H16,0)</x:f>
        <x:v>0</x:v>
      </x:c>
      <x:c r="J16" s="47" t="str">
        <x:f>INDEX('3. Ceník'!$O$6:$O$16,MATCH(A16,'3. Ceník'!$A$6:$A$16,0))</x:f>
        <x:v>PROVIZORNÍ</x:v>
      </x:c>
    </x:row>
    <x:row r="17">
      <x:c r="A17" s="47" t="str">
        <x:v>PS_VF_01</x:v>
      </x:c>
      <x:c r="B17" s="47" t="str">
        <x:v>Vnitřní nenosná příčka 100 mm</x:v>
      </x:c>
      <x:c r="C17" s="134" t="n">
        <x:v>0</x:v>
      </x:c>
      <x:c r="D17" s="59" t="n">
        <x:f>INDEX('3. Ceník'!$J$6:$J$16,MATCH(A17,'3. Ceník'!$A$6:$A$16,0))</x:f>
        <x:v>1617.3553846153845</x:v>
      </x:c>
      <x:c r="E17" s="59" t="n">
        <x:f>C17*D17</x:f>
        <x:v>0</x:v>
      </x:c>
      <x:c r="F17" s="59" t="n">
        <x:f>INDEX('3. Ceník'!$H$6:$H$16,MATCH(A17,'3. Ceník'!$A$6:$A$16,0))</x:f>
        <x:v>1051.281</x:v>
      </x:c>
      <x:c r="G17" s="59" t="n">
        <x:f>C17*F17</x:f>
        <x:v>0</x:v>
      </x:c>
      <x:c r="H17" s="59" t="n">
        <x:f>E17*(1-$B$7)</x:f>
        <x:v>0</x:v>
      </x:c>
      <x:c r="I17" s="131" t="n">
        <x:f>IF(H17&gt;0,(H17-G17)/H17,0)</x:f>
        <x:v>0</x:v>
      </x:c>
      <x:c r="J17" s="47" t="str">
        <x:f>INDEX('3. Ceník'!$O$6:$O$16,MATCH(A17,'3. Ceník'!$A$6:$A$16,0))</x:f>
        <x:v>PROVIZORNÍ</x:v>
      </x:c>
    </x:row>
    <x:row r="18">
      <x:c r="A18" s="47" t="str">
        <x:v>STROP_RD</x:v>
      </x:c>
      <x:c r="B18" s="47" t="str">
        <x:v>Stropní dílec pro rodinné domy 432 mm</x:v>
      </x:c>
      <x:c r="C18" s="134" t="n">
        <x:v>95</x:v>
      </x:c>
      <x:c r="D18" s="59" t="n">
        <x:f>INDEX('3. Ceník'!$J$6:$J$16,MATCH(A18,'3. Ceník'!$A$6:$A$16,0))</x:f>
        <x:v>3676.7538461538456</x:v>
      </x:c>
      <x:c r="E18" s="59" t="n">
        <x:f>C18*D18</x:f>
        <x:v>349291.6153846153</x:v>
      </x:c>
      <x:c r="F18" s="59" t="n">
        <x:f>INDEX('3. Ceník'!$H$6:$H$16,MATCH(A18,'3. Ceník'!$A$6:$A$16,0))</x:f>
        <x:v>2389.89</x:v>
      </x:c>
      <x:c r="G18" s="59" t="n">
        <x:f>C18*F18</x:f>
        <x:v>227039.55</x:v>
      </x:c>
      <x:c r="H18" s="59" t="n">
        <x:f>E18*(1-$B$7)</x:f>
        <x:v>349291.6153846153</x:v>
      </x:c>
      <x:c r="I18" s="131" t="n">
        <x:f>IF(H18&gt;0,(H18-G18)/H18,0)</x:f>
        <x:v>0.3499999999999999</x:v>
      </x:c>
      <x:c r="J18" s="47" t="str">
        <x:f>INDEX('3. Ceník'!$O$6:$O$16,MATCH(A18,'3. Ceník'!$A$6:$A$16,0))</x:f>
        <x:v>PROVIZORNÍ</x:v>
      </x:c>
    </x:row>
    <x:row r="19">
      <x:c r="A19" s="47" t="str">
        <x:v>STROP_BD</x:v>
      </x:c>
      <x:c r="B19" s="47" t="str">
        <x:v>Akustický strop s voštinovým zásypem 492 mm</x:v>
      </x:c>
      <x:c r="C19" s="134" t="n">
        <x:v>0</x:v>
      </x:c>
      <x:c r="D19" s="59" t="n">
        <x:f>INDEX('3. Ceník'!$J$6:$J$16,MATCH(A19,'3. Ceník'!$A$6:$A$16,0))</x:f>
        <x:v>6557.035384615385</x:v>
      </x:c>
      <x:c r="E19" s="59" t="n">
        <x:f>C19*D19</x:f>
        <x:v>0</x:v>
      </x:c>
      <x:c r="F19" s="59" t="n">
        <x:f>INDEX('3. Ceník'!$H$6:$H$16,MATCH(A19,'3. Ceník'!$A$6:$A$16,0))</x:f>
        <x:v>4262.073</x:v>
      </x:c>
      <x:c r="G19" s="59" t="n">
        <x:f>C19*F19</x:f>
        <x:v>0</x:v>
      </x:c>
      <x:c r="H19" s="59" t="n">
        <x:f>E19*(1-$B$7)</x:f>
        <x:v>0</x:v>
      </x:c>
      <x:c r="I19" s="131" t="n">
        <x:f>IF(H19&gt;0,(H19-G19)/H19,0)</x:f>
        <x:v>0</x:v>
      </x:c>
      <x:c r="J19" s="47" t="str">
        <x:f>INDEX('3. Ceník'!$O$6:$O$16,MATCH(A19,'3. Ceník'!$A$6:$A$16,0))</x:f>
        <x:v>PROVIZORNÍ</x:v>
      </x:c>
    </x:row>
    <x:row r="20">
      <x:c r="A20" s="47" t="str">
        <x:v>STRECHA_SIKMA</x:v>
      </x:c>
      <x:c r="B20" s="47" t="str">
        <x:v>Šikmá střecha s krokevní soustavou 455 mm</x:v>
      </x:c>
      <x:c r="C20" s="134" t="n">
        <x:v>115</x:v>
      </x:c>
      <x:c r="D20" s="59" t="n">
        <x:f>INDEX('3. Ceník'!$J$6:$J$16,MATCH(A20,'3. Ceník'!$A$6:$A$16,0))</x:f>
        <x:v>4470.766153846154</x:v>
      </x:c>
      <x:c r="E20" s="59" t="n">
        <x:f>C20*D20</x:f>
        <x:v>514138.10769230773</x:v>
      </x:c>
      <x:c r="F20" s="59" t="n">
        <x:f>INDEX('3. Ceník'!$H$6:$H$16,MATCH(A20,'3. Ceník'!$A$6:$A$16,0))</x:f>
        <x:v>2905.9980000000005</x:v>
      </x:c>
      <x:c r="G20" s="59" t="n">
        <x:f>C20*F20</x:f>
        <x:v>334189.7700000001</x:v>
      </x:c>
      <x:c r="H20" s="59" t="n">
        <x:f>E20*(1-$B$7)</x:f>
        <x:v>514138.10769230773</x:v>
      </x:c>
      <x:c r="I20" s="131" t="n">
        <x:f>IF(H20&gt;0,(H20-G20)/H20,0)</x:f>
        <x:v>0.3499999999999999</x:v>
      </x:c>
      <x:c r="J20" s="47" t="str">
        <x:f>INDEX('3. Ceník'!$O$6:$O$16,MATCH(A20,'3. Ceník'!$A$6:$A$16,0))</x:f>
        <x:v>PROVIZORNÍ</x:v>
      </x:c>
    </x:row>
    <x:row r="21">
      <x:c r="A21" s="47" t="str">
        <x:v>STRECHA_PLOCHA</x:v>
      </x:c>
      <x:c r="B21" s="47" t="str">
        <x:v>Plochá střecha se spádovou izolací 564.5 mm</x:v>
      </x:c>
      <x:c r="C21" s="134" t="n">
        <x:v>0</x:v>
      </x:c>
      <x:c r="D21" s="59" t="n">
        <x:f>INDEX('3. Ceník'!$J$6:$J$16,MATCH(A21,'3. Ceník'!$A$6:$A$16,0))</x:f>
        <x:v>5612.963076923076</x:v>
      </x:c>
      <x:c r="E21" s="59" t="n">
        <x:f>C21*D21</x:f>
        <x:v>0</x:v>
      </x:c>
      <x:c r="F21" s="59" t="n">
        <x:f>INDEX('3. Ceník'!$H$6:$H$16,MATCH(A21,'3. Ceník'!$A$6:$A$16,0))</x:f>
        <x:v>3648.4259999999995</x:v>
      </x:c>
      <x:c r="G21" s="59" t="n">
        <x:f>C21*F21</x:f>
        <x:v>0</x:v>
      </x:c>
      <x:c r="H21" s="59" t="n">
        <x:f>E21*(1-$B$7)</x:f>
        <x:v>0</x:v>
      </x:c>
      <x:c r="I21" s="131" t="n">
        <x:f>IF(H21&gt;0,(H21-G21)/H21,0)</x:f>
        <x:v>0</x:v>
      </x:c>
      <x:c r="J21" s="47" t="str">
        <x:f>INDEX('3. Ceník'!$O$6:$O$16,MATCH(A21,'3. Ceník'!$A$6:$A$16,0))</x:f>
        <x:v>PROVIZORNÍ</x:v>
      </x:c>
    </x:row>
    <x:row r="22">
      <x:c r="A22" s="47" t="str">
        <x:v>PODLAHA_1NP</x:v>
      </x:c>
      <x:c r="B22" s="47" t="str">
        <x:v>Podlahový dílec 1.NP nad základovou deskou 170 mm</x:v>
      </x:c>
      <x:c r="C22" s="134" t="n">
        <x:v>0</x:v>
      </x:c>
      <x:c r="D22" s="59" t="n">
        <x:f>INDEX('3. Ceník'!$J$6:$J$16,MATCH(A22,'3. Ceník'!$A$6:$A$16,0))</x:f>
        <x:v>2161.7723076923075</x:v>
      </x:c>
      <x:c r="E22" s="59" t="n">
        <x:f>C22*D22</x:f>
        <x:v>0</x:v>
      </x:c>
      <x:c r="F22" s="59" t="n">
        <x:f>INDEX('3. Ceník'!$H$6:$H$16,MATCH(A22,'3. Ceník'!$A$6:$A$16,0))</x:f>
        <x:v>1405.152</x:v>
      </x:c>
      <x:c r="G22" s="59" t="n">
        <x:f>C22*F22</x:f>
        <x:v>0</x:v>
      </x:c>
      <x:c r="H22" s="59" t="n">
        <x:f>E22*(1-$B$7)</x:f>
        <x:v>0</x:v>
      </x:c>
      <x:c r="I22" s="131" t="n">
        <x:f>IF(H22&gt;0,(H22-G22)/H22,0)</x:f>
        <x:v>0</x:v>
      </x:c>
      <x:c r="J22" s="47" t="str">
        <x:f>INDEX('3. Ceník'!$O$6:$O$16,MATCH(A22,'3. Ceník'!$A$6:$A$16,0))</x:f>
        <x:v>PROVIZORNÍ</x:v>
      </x:c>
    </x:row>
    <x:row r="23">
      <x:c r="A23" s="161" t="str">
        <x:v>PANELY CELKEM</x:v>
      </x:c>
      <x:c r="B23" s="161"/>
      <x:c r="C23" s="162" t="n">
        <x:f>SUM(C12:C22)</x:f>
        <x:v>455</x:v>
      </x:c>
      <x:c r="D23" s="163"/>
      <x:c r="E23" s="163" t="n">
        <x:f>SUM(E12:E22)</x:f>
        <x:v>1803317.1923076923</x:v>
      </x:c>
      <x:c r="F23" s="163"/>
      <x:c r="G23" s="163" t="n">
        <x:f>SUM(G12:G22)</x:f>
        <x:v>1172156.175</x:v>
      </x:c>
      <x:c r="H23" s="163" t="n">
        <x:f>SUM(H12:H22)</x:f>
        <x:v>1803317.1923076923</x:v>
      </x:c>
      <x:c r="I23" s="164" t="n">
        <x:f>IF(H23&gt;0,(H23-G23)/H23,0)</x:f>
        <x:v>0.35</x:v>
      </x:c>
      <x:c r="J23" s="161"/>
    </x:row>
    <x:row r="24">
      <x:c r="A24" s="153"/>
      <x:c r="B24" s="153"/>
      <x:c r="C24" s="153"/>
      <x:c r="D24" s="153"/>
      <x:c r="E24" s="153"/>
      <x:c r="F24" s="153"/>
      <x:c r="G24" s="153"/>
      <x:c r="H24" s="153"/>
      <x:c r="I24" s="153"/>
      <x:c r="J24" s="153"/>
    </x:row>
    <x:row r="25">
      <x:c r="A25" s="153"/>
      <x:c r="B25" s="153"/>
      <x:c r="C25" s="153"/>
      <x:c r="D25" s="153"/>
      <x:c r="E25" s="153"/>
      <x:c r="F25" s="153"/>
      <x:c r="G25" s="153"/>
      <x:c r="H25" s="153"/>
      <x:c r="I25" s="153"/>
      <x:c r="J25" s="153"/>
    </x:row>
    <x:row r="26">
      <x:c r="A26" s="52" t="str">
        <x:v>6.2 SLUŽBY A CELKOVÁ CENA</x:v>
      </x:c>
      <x:c r="B26" s="52"/>
      <x:c r="C26" s="52"/>
      <x:c r="D26" s="52"/>
      <x:c r="E26" s="52"/>
      <x:c r="F26" s="52"/>
      <x:c r="G26" s="52"/>
      <x:c r="H26" s="52"/>
      <x:c r="I26" s="52"/>
      <x:c r="J26" s="52"/>
    </x:row>
    <x:row r="27">
      <x:c r="A27" s="16" t="str">
        <x:v>Kód</x:v>
      </x:c>
      <x:c r="B27" s="16" t="str">
        <x:v>Služba</x:v>
      </x:c>
      <x:c r="C27" s="16" t="str">
        <x:v>Množství / základ</x:v>
      </x:c>
      <x:c r="D27" s="16" t="str">
        <x:v>Sazba / cena</x:v>
      </x:c>
      <x:c r="E27" s="16" t="str">
        <x:v>Prodejní cena</x:v>
      </x:c>
      <x:c r="F27" s="16" t="str">
        <x:v>Plánovaný náklad</x:v>
      </x:c>
      <x:c r="G27" s="16" t="str">
        <x:v>Stav nákladu</x:v>
      </x:c>
      <x:c r="H27" s="16" t="str">
        <x:v>Marže</x:v>
      </x:c>
      <x:c r="I27" s="16" t="str">
        <x:v>Poznámka</x:v>
      </x:c>
      <x:c r="J27" s="153"/>
    </x:row>
    <x:row r="28">
      <x:c r="A28" s="46" t="str">
        <x:v>MONTAGE</x:v>
      </x:c>
      <x:c r="B28" s="46" t="str">
        <x:v>Certifikovaná montáž hrubé stavby</x:v>
      </x:c>
      <x:c r="C28" s="55" t="n">
        <x:f>H23</x:f>
        <x:v>1803317.1923076923</x:v>
      </x:c>
      <x:c r="D28" s="133" t="n">
        <x:f>INDEX('2. Vstupy'!$G$40:$G$48,MATCH(A28,'2. Vstupy'!$A$40:$A$48,0))</x:f>
        <x:v>0.18</x:v>
      </x:c>
      <x:c r="E28" s="55" t="n">
        <x:f>C28*D28</x:f>
        <x:v>324597.0946153846</x:v>
      </x:c>
      <x:c r="F28" s="55" t="n">
        <x:f>INDEX('2. Vstupy'!$D$40:$D$48,MATCH(A28,'2. Vstupy'!$A$40:$A$48,0))</x:f>
        <x:v>0</x:v>
      </x:c>
      <x:c r="G28" s="46" t="str">
        <x:f>INDEX('2. Vstupy'!$E$40:$E$48,MATCH(A28,'2. Vstupy'!$A$40:$A$48,0))</x:f>
        <x:v>CHYBÍ</x:v>
      </x:c>
      <x:c r="H28" s="133" t="str">
        <x:f>IF(G28="POTVRZENO",(E28-F28)/E28,"")</x:f>
      </x:c>
      <x:c r="I28" s="46" t="str">
        <x:v>18 % z ceny panelů – dočasné prodejní pravidlo</x:v>
      </x:c>
      <x:c r="J28" s="153"/>
    </x:row>
    <x:row r="29">
      <x:c r="A29" s="47" t="str">
        <x:v>CRANE</x:v>
      </x:c>
      <x:c r="B29" s="47" t="str">
        <x:v>Těžký autojeřáb a manipulace</x:v>
      </x:c>
      <x:c r="C29" s="59" t="n">
        <x:f>H23</x:f>
        <x:v>1803317.1923076923</x:v>
      </x:c>
      <x:c r="D29" s="131" t="n">
        <x:f>INDEX('2. Vstupy'!$G$40:$G$48,MATCH(A29,'2. Vstupy'!$A$40:$A$48,0))</x:f>
        <x:v>0.04</x:v>
      </x:c>
      <x:c r="E29" s="59" t="n">
        <x:f>C29*D29</x:f>
        <x:v>72132.68769230769</x:v>
      </x:c>
      <x:c r="F29" s="59" t="n">
        <x:f>INDEX('2. Vstupy'!$D$40:$D$48,MATCH(A29,'2. Vstupy'!$A$40:$A$48,0))</x:f>
        <x:v>0</x:v>
      </x:c>
      <x:c r="G29" s="47" t="str">
        <x:f>INDEX('2. Vstupy'!$E$40:$E$48,MATCH(A29,'2. Vstupy'!$A$40:$A$48,0))</x:f>
        <x:v>CHYBÍ</x:v>
      </x:c>
      <x:c r="H29" s="131" t="str">
        <x:f>IF(G29="POTVRZENO",(E29-F29)/E29,"")</x:f>
      </x:c>
      <x:c r="I29" s="47" t="str">
        <x:v>4 % z ceny panelů – dočasné prodejní pravidlo</x:v>
      </x:c>
      <x:c r="J29" s="153"/>
    </x:row>
    <x:row r="30">
      <x:c r="A30" s="47" t="str">
        <x:v>SITE_PREP</x:v>
      </x:c>
      <x:c r="B30" s="47" t="str">
        <x:v>Zařízení staveniště a lešení</x:v>
      </x:c>
      <x:c r="C30" s="79" t="n">
        <x:v>1</x:v>
      </x:c>
      <x:c r="D30" s="139" t="n">
        <x:f>INDEX('2. Vstupy'!$G$40:$G$48,MATCH(A30,'2. Vstupy'!$A$40:$A$48,0))</x:f>
        <x:v>55000</x:v>
      </x:c>
      <x:c r="E30" s="59" t="n">
        <x:f>C30*D30</x:f>
        <x:v>55000</x:v>
      </x:c>
      <x:c r="F30" s="59" t="n">
        <x:f>INDEX('2. Vstupy'!$D$40:$D$48,MATCH(A30,'2. Vstupy'!$A$40:$A$48,0))</x:f>
        <x:v>55000</x:v>
      </x:c>
      <x:c r="G30" s="47" t="str">
        <x:f>INDEX('2. Vstupy'!$E$40:$E$48,MATCH(A30,'2. Vstupy'!$A$40:$A$48,0))</x:f>
        <x:v>ODHAD</x:v>
      </x:c>
      <x:c r="H30" s="131" t="str">
        <x:f>IF(G30="POTVRZENO",(E30-F30)/E30,"")</x:f>
      </x:c>
      <x:c r="I30" s="47" t="str">
        <x:v>Dočasně bez marže</x:v>
      </x:c>
      <x:c r="J30" s="153"/>
    </x:row>
    <x:row r="31">
      <x:c r="A31" s="47" t="str">
        <x:v>TRANSPORT</x:v>
      </x:c>
      <x:c r="B31" s="47" t="str">
        <x:v>Doprava podle zóny</x:v>
      </x:c>
      <x:c r="C31" s="79" t="n">
        <x:f>$E$5</x:f>
        <x:v>3</x:v>
      </x:c>
      <x:c r="D31" s="139" t="n">
        <x:f>INDEX('2. Vstupy'!$G$44:$G$48,MATCH($E$4,'2. Vstupy'!$A$44:$A$48,0))</x:f>
        <x:v>16500</x:v>
      </x:c>
      <x:c r="E31" s="59" t="n">
        <x:f>C31*D31</x:f>
        <x:v>49500</x:v>
      </x:c>
      <x:c r="F31" s="59" t="n">
        <x:f>C31*INDEX('2. Vstupy'!$D$44:$D$48,MATCH($E$4,'2. Vstupy'!$A$44:$A$48,0))</x:f>
        <x:v>0</x:v>
      </x:c>
      <x:c r="G31" s="47" t="str">
        <x:f>INDEX('2. Vstupy'!$E$44:$E$48,MATCH($E$4,'2. Vstupy'!$A$44:$A$48,0))</x:f>
        <x:v>CHYBÍ</x:v>
      </x:c>
      <x:c r="H31" s="131" t="str">
        <x:f>IF(G31="POTVRZENO",(E31-F31)/E31,"")</x:f>
      </x:c>
      <x:c r="I31" s="47" t="str">
        <x:v>Cena a náklad za kamion</x:v>
      </x:c>
      <x:c r="J31" s="153"/>
    </x:row>
    <x:row r="32">
      <x:c r="A32" s="47" t="str">
        <x:v>TECH_RESERVE</x:v>
      </x:c>
      <x:c r="B32" s="47" t="str">
        <x:v>Technická rezerva</x:v>
      </x:c>
      <x:c r="C32" s="59" t="n">
        <x:f>H23+SUM(E28:E31)</x:f>
        <x:v>2304546.9746153844</x:v>
      </x:c>
      <x:c r="D32" s="131" t="n">
        <x:f>INDEX('2. Vstupy'!$G$40:$G$48,MATCH(A32,'2. Vstupy'!$A$40:$A$48,0))</x:f>
        <x:v>0.03</x:v>
      </x:c>
      <x:c r="E32" s="59" t="n">
        <x:f>C32*D32</x:f>
        <x:v>69136.40923846152</x:v>
      </x:c>
      <x:c r="F32" s="59" t="n">
        <x:f>E32</x:f>
        <x:v>69136.40923846152</x:v>
      </x:c>
      <x:c r="G32" s="47" t="str">
        <x:v>PRAVIDLO</x:v>
      </x:c>
      <x:c r="H32" s="131" t="n">
        <x:v>0</x:v>
      </x:c>
      <x:c r="I32" s="47" t="str">
        <x:v>Rezerva je současně nákladem, nikoli ziskem</x:v>
      </x:c>
      <x:c r="J32" s="153"/>
    </x:row>
    <x:row r="33">
      <x:c r="A33" s="153"/>
      <x:c r="B33" s="153"/>
      <x:c r="C33" s="153"/>
      <x:c r="D33" s="153"/>
      <x:c r="E33" s="153"/>
      <x:c r="F33" s="153"/>
      <x:c r="G33" s="153"/>
      <x:c r="H33" s="153"/>
      <x:c r="I33" s="153"/>
      <x:c r="J33" s="153"/>
    </x:row>
    <x:row r="34">
      <x:c r="A34" s="165" t="str">
        <x:v>CELKEM BEZ DPH</x:v>
      </x:c>
      <x:c r="B34" s="165"/>
      <x:c r="C34" s="165"/>
      <x:c r="D34" s="165"/>
      <x:c r="E34" s="166" t="n">
        <x:f>H23+SUM(E28:E32)</x:f>
        <x:v>2373683.383853846</x:v>
      </x:c>
      <x:c r="F34" s="166" t="n">
        <x:f>G23+SUM(F28:F32)</x:f>
        <x:v>1296292.5842384617</x:v>
      </x:c>
      <x:c r="G34" s="165"/>
      <x:c r="H34" s="167" t="str">
        <x:f>IF('2. Vstupy'!$B$11="ANO",(E34-F34)/E34,"")</x:f>
      </x:c>
      <x:c r="I34" s="165"/>
      <x:c r="J34" s="153"/>
    </x:row>
    <x:row r="35">
      <x:c r="A35" s="168" t="str">
        <x:v>DPH</x:v>
      </x:c>
      <x:c r="B35" s="168"/>
      <x:c r="C35" s="168"/>
      <x:c r="D35" s="169" t="n">
        <x:f>'2. Vstupy'!$B$19</x:f>
        <x:v>0.12</x:v>
      </x:c>
      <x:c r="E35" s="170" t="n">
        <x:f>E34*D35</x:f>
        <x:v>284842.0060624615</x:v>
      </x:c>
      <x:c r="F35" s="170"/>
      <x:c r="G35" s="168"/>
      <x:c r="H35" s="168"/>
      <x:c r="I35" s="168"/>
      <x:c r="J35" s="153"/>
    </x:row>
    <x:row r="36">
      <x:c r="A36" s="168" t="str">
        <x:v>CELKEM S DPH</x:v>
      </x:c>
      <x:c r="B36" s="168"/>
      <x:c r="C36" s="168"/>
      <x:c r="D36" s="168"/>
      <x:c r="E36" s="170" t="n">
        <x:f>E34+E35</x:f>
        <x:v>2658525.3899163078</x:v>
      </x:c>
      <x:c r="F36" s="170"/>
      <x:c r="G36" s="168"/>
      <x:c r="H36" s="168"/>
      <x:c r="I36" s="168"/>
      <x:c r="J36" s="153"/>
    </x:row>
    <x:row r="37">
      <x:c r="A37" s="168" t="str">
        <x:v>STAV CELKOVÉ MARŽE</x:v>
      </x:c>
      <x:c r="B37" s="168"/>
      <x:c r="C37" s="168"/>
      <x:c r="D37" s="168"/>
      <x:c r="E37" s="168"/>
      <x:c r="F37" s="168"/>
      <x:c r="G37" s="168"/>
      <x:c r="H37" s="168" t="str">
        <x:f>IF('2. Vstupy'!$B$11="ANO","VYPOČTENA","NÁKLADY SLUŽEB NEOVĚŘENY")</x:f>
        <x:v>NÁKLADY SLUŽEB NEOVĚŘENY</x:v>
      </x:c>
      <x:c r="I37" s="168"/>
      <x:c r="J37" s="153"/>
    </x:row>
  </x:sheetData>
  <x:mergeCells>
    <x:mergeCell ref="A1:J1"/>
    <x:mergeCell ref="A2:J2"/>
    <x:mergeCell ref="A10:J10"/>
    <x:mergeCell ref="A26:J26"/>
  </x:mergeCells>
  <x:conditionalFormatting sqref="B8:B8">
    <x:cfRule type="containsText" dxfId="67" priority="1" operator="containsText" text="PŘIPRAVENO"/>
    <x:cfRule type="containsText" dxfId="68" priority="2" operator="containsText" text="AKTIVNÍ"/>
    <x:cfRule type="containsText" dxfId="69" priority="3" operator="containsText" text="BLOKOVÁNO"/>
    <x:cfRule type="containsText" dxfId="70" priority="4" operator="containsText" text="CHYBÍ"/>
    <x:cfRule type="containsText" dxfId="71" priority="5" operator="containsText" text="DOPLNIT"/>
    <x:cfRule type="containsText" dxfId="72" priority="6" operator="containsText" text="PROVIZORNÍ"/>
  </x:conditionalFormatting>
  <x:conditionalFormatting sqref="E8:E8">
    <x:cfRule type="containsText" dxfId="73" priority="7" operator="containsText" text="PŘIPRAVENO"/>
    <x:cfRule type="containsText" dxfId="74" priority="8" operator="containsText" text="AKTIVNÍ"/>
    <x:cfRule type="containsText" dxfId="75" priority="9" operator="containsText" text="BLOKOVÁNO"/>
    <x:cfRule type="containsText" dxfId="76" priority="10" operator="containsText" text="CHYBÍ"/>
    <x:cfRule type="containsText" dxfId="77" priority="11" operator="containsText" text="DOPLNIT"/>
    <x:cfRule type="containsText" dxfId="78" priority="12" operator="containsText" text="PROVIZORNÍ"/>
  </x:conditionalFormatting>
  <x:conditionalFormatting sqref="J12:J22">
    <x:cfRule type="containsText" dxfId="79" priority="13" operator="containsText" text="PŘIPRAVENO"/>
    <x:cfRule type="containsText" dxfId="80" priority="14" operator="containsText" text="AKTIVNÍ"/>
    <x:cfRule type="containsText" dxfId="81" priority="15" operator="containsText" text="BLOKOVÁNO"/>
    <x:cfRule type="containsText" dxfId="82" priority="16" operator="containsText" text="CHYBÍ"/>
    <x:cfRule type="containsText" dxfId="83" priority="17" operator="containsText" text="DOPLNIT"/>
    <x:cfRule type="containsText" dxfId="84" priority="18" operator="containsText" text="PROVIZORNÍ"/>
  </x:conditionalFormatting>
  <x:conditionalFormatting sqref="G28:G32">
    <x:cfRule type="containsText" dxfId="85" priority="19" operator="containsText" text="PŘIPRAVENO"/>
    <x:cfRule type="containsText" dxfId="86" priority="20" operator="containsText" text="AKTIVNÍ"/>
    <x:cfRule type="containsText" dxfId="87" priority="21" operator="containsText" text="BLOKOVÁNO"/>
    <x:cfRule type="containsText" dxfId="88" priority="22" operator="containsText" text="CHYBÍ"/>
    <x:cfRule type="containsText" dxfId="89" priority="23" operator="containsText" text="DOPLNIT"/>
    <x:cfRule type="containsText" dxfId="90" priority="24" operator="containsText" text="PROVIZORNÍ"/>
  </x:conditionalFormatting>
  <x:conditionalFormatting sqref="H37:H37">
    <x:cfRule type="containsText" dxfId="91" priority="25" operator="containsText" text="PŘIPRAVENO"/>
    <x:cfRule type="containsText" dxfId="92" priority="26" operator="containsText" text="AKTIVNÍ"/>
    <x:cfRule type="containsText" dxfId="93" priority="27" operator="containsText" text="BLOKOVÁNO"/>
    <x:cfRule type="containsText" dxfId="94" priority="28" operator="containsText" text="CHYBÍ"/>
    <x:cfRule type="containsText" dxfId="95" priority="29" operator="containsText" text="DOPLNIT"/>
    <x:cfRule type="containsText" dxfId="96" priority="30" operator="containsText" text="PROVIZORNÍ"/>
  </x:conditionalFormatting>
  <x:dataValidations count="1">
    <x:dataValidation type="list" sqref="E4">
      <x:formula1>"TRANSPORT_Z1,TRANSPORT_Z2,TRANSPORT_Z3,TRANSPORT_Z4,TRANSPORT_Z5"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  <x:col min="13" max="13" width="18" hidden="0" customWidth="1"/>
  </x:cols>
  <x:sheetData>
    <x:row r="1" ht="36" customHeight="1">
      <x:c r="A1" s="40" t="str">
        <x:v>VESPER FRAMES — ZPĚTNÁ VAZBA PLÁN VS. SKUTEČNOST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25" customHeight="1">
      <x:c r="A2" s="6" t="str">
        <x:v>Jeden řádek představuje panel nebo službu v uzavřené zakázce. Skutečnost postupně kalibruje budoucí nákladové sazby.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</x:row>
    <x:row r="4">
      <x:c r="A4" s="173" t="str">
        <x:v>Plánované náklady</x:v>
      </x:c>
      <x:c r="B4" s="174" t="n">
        <x:f>SUM(G11:G40)</x:f>
        <x:v>0</x:v>
      </x:c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</x:row>
    <x:row r="5">
      <x:c r="A5" s="173" t="str">
        <x:v>Skutečné náklady</x:v>
      </x:c>
      <x:c r="B5" s="174" t="n">
        <x:f>SUM(I11:I40)</x:f>
        <x:v>0</x:v>
      </x:c>
      <x:c r="C5" s="147"/>
      <x:c r="D5" s="147"/>
      <x:c r="E5" s="147"/>
      <x:c r="F5" s="147"/>
      <x:c r="G5" s="147"/>
      <x:c r="H5" s="147"/>
      <x:c r="I5" s="147"/>
      <x:c r="J5" s="147"/>
      <x:c r="K5" s="147"/>
      <x:c r="L5" s="147"/>
      <x:c r="M5" s="147"/>
    </x:row>
    <x:row r="6">
      <x:c r="A6" s="173" t="str">
        <x:v>Odchylka Kč</x:v>
      </x:c>
      <x:c r="B6" s="174" t="n">
        <x:f>B5-B4</x:f>
        <x:v>0</x:v>
      </x:c>
      <x:c r="C6" s="147"/>
      <x:c r="D6" s="147"/>
      <x:c r="E6" s="147"/>
      <x:c r="F6" s="147"/>
      <x:c r="G6" s="147"/>
      <x:c r="H6" s="147"/>
      <x:c r="I6" s="147"/>
      <x:c r="J6" s="147"/>
      <x:c r="K6" s="147"/>
      <x:c r="L6" s="147"/>
      <x:c r="M6" s="147"/>
    </x:row>
    <x:row r="7">
      <x:c r="A7" s="173" t="str">
        <x:v>Vyplněné řádky</x:v>
      </x:c>
      <x:c r="B7" s="147" t="n">
        <x:f>COUNTIF(A11:A40,"&lt;&gt;")</x:f>
        <x:v>0</x:v>
      </x:c>
      <x:c r="C7" s="147"/>
      <x:c r="D7" s="147"/>
      <x:c r="E7" s="147"/>
      <x:c r="F7" s="147"/>
      <x:c r="G7" s="147"/>
      <x:c r="H7" s="147"/>
      <x:c r="I7" s="147"/>
      <x:c r="J7" s="147"/>
      <x:c r="K7" s="147"/>
      <x:c r="L7" s="147"/>
      <x:c r="M7" s="147"/>
    </x:row>
    <x:row r="8">
      <x:c r="A8" s="147"/>
      <x:c r="B8" s="147"/>
      <x:c r="C8" s="147"/>
      <x:c r="D8" s="147"/>
      <x:c r="E8" s="147"/>
      <x:c r="F8" s="147"/>
      <x:c r="G8" s="147"/>
      <x:c r="H8" s="147"/>
      <x:c r="I8" s="147"/>
      <x:c r="J8" s="147"/>
      <x:c r="K8" s="147"/>
      <x:c r="L8" s="147"/>
      <x:c r="M8" s="147"/>
    </x:row>
    <x:row r="9">
      <x:c r="A9" s="52" t="str">
        <x:v>7.1 EVIDENCE SKUTEČNÝCH NÁKLADŮ</x:v>
      </x:c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</x:row>
    <x:row r="10">
      <x:c r="A10" s="16" t="str">
        <x:v>ID zakázky</x:v>
      </x:c>
      <x:c r="B10" s="16" t="str">
        <x:v>Datum uzavření</x:v>
      </x:c>
      <x:c r="C10" s="16" t="str">
        <x:v>Typ</x:v>
      </x:c>
      <x:c r="D10" s="16" t="str">
        <x:v>Kód</x:v>
      </x:c>
      <x:c r="E10" s="16" t="str">
        <x:v>Množství</x:v>
      </x:c>
      <x:c r="F10" s="16" t="str">
        <x:v>Plán. náklad/jedn.</x:v>
      </x:c>
      <x:c r="G10" s="16" t="str">
        <x:v>Plán. náklad celkem</x:v>
      </x:c>
      <x:c r="H10" s="16" t="str">
        <x:v>Objednáno / závazek</x:v>
      </x:c>
      <x:c r="I10" s="16" t="str">
        <x:v>Skutečný náklad</x:v>
      </x:c>
      <x:c r="J10" s="16" t="str">
        <x:v>Odchylka Kč</x:v>
      </x:c>
      <x:c r="K10" s="16" t="str">
        <x:v>Odchylka %</x:v>
      </x:c>
      <x:c r="L10" s="16" t="str">
        <x:v>Důvod</x:v>
      </x:c>
      <x:c r="M10" s="16" t="str">
        <x:v>Schválil</x:v>
      </x:c>
    </x:row>
    <x:row r="11">
      <x:c r="A11" s="56"/>
      <x:c r="B11" s="69"/>
      <x:c r="C11" s="56"/>
      <x:c r="D11" s="56"/>
      <x:c r="E11" s="132"/>
      <x:c r="F11" s="55" t="str">
        <x:f>IF(C11="PANEL",IFERROR(INDEX('3. Ceník'!$H$6:$H$16,MATCH(D11,'3. Ceník'!$A$6:$A$16,0)),""),IF(C11="SLUŽBA",IFERROR(INDEX('2. Vstupy'!$D$40:$D$48,MATCH(D11,'2. Vstupy'!$A$40:$A$48,0)),""),""))</x:f>
      </x:c>
      <x:c r="G11" s="55" t="str">
        <x:f>IF(OR(E11="",F11=""),"",E11*F11)</x:f>
      </x:c>
      <x:c r="H11" s="54"/>
      <x:c r="I11" s="54"/>
      <x:c r="J11" s="55" t="str">
        <x:f>IF(OR(I11="",G11=""),"",I11-G11)</x:f>
      </x:c>
      <x:c r="K11" s="133" t="str">
        <x:f>IFERROR(J11/G11,"")</x:f>
      </x:c>
      <x:c r="L11" s="56"/>
      <x:c r="M11" s="56"/>
    </x:row>
    <x:row r="12">
      <x:c r="A12" s="49"/>
      <x:c r="B12" s="71"/>
      <x:c r="C12" s="49"/>
      <x:c r="D12" s="49"/>
      <x:c r="E12" s="134"/>
      <x:c r="F12" s="59" t="str">
        <x:f>IF(C12="PANEL",IFERROR(INDEX('3. Ceník'!$H$6:$H$16,MATCH(D12,'3. Ceník'!$A$6:$A$16,0)),""),IF(C12="SLUŽBA",IFERROR(INDEX('2. Vstupy'!$D$40:$D$48,MATCH(D12,'2. Vstupy'!$A$40:$A$48,0)),""),""))</x:f>
      </x:c>
      <x:c r="G12" s="59" t="str">
        <x:f>IF(OR(E12="",F12=""),"",E12*F12)</x:f>
      </x:c>
      <x:c r="H12" s="58"/>
      <x:c r="I12" s="58"/>
      <x:c r="J12" s="59" t="str">
        <x:f>IF(OR(I12="",G12=""),"",I12-G12)</x:f>
      </x:c>
      <x:c r="K12" s="131" t="str">
        <x:f>IFERROR(J12/G12,"")</x:f>
      </x:c>
      <x:c r="L12" s="49"/>
      <x:c r="M12" s="49"/>
    </x:row>
    <x:row r="13">
      <x:c r="A13" s="49"/>
      <x:c r="B13" s="71"/>
      <x:c r="C13" s="49"/>
      <x:c r="D13" s="49"/>
      <x:c r="E13" s="134"/>
      <x:c r="F13" s="59" t="str">
        <x:f>IF(C13="PANEL",IFERROR(INDEX('3. Ceník'!$H$6:$H$16,MATCH(D13,'3. Ceník'!$A$6:$A$16,0)),""),IF(C13="SLUŽBA",IFERROR(INDEX('2. Vstupy'!$D$40:$D$48,MATCH(D13,'2. Vstupy'!$A$40:$A$48,0)),""),""))</x:f>
      </x:c>
      <x:c r="G13" s="59" t="str">
        <x:f>IF(OR(E13="",F13=""),"",E13*F13)</x:f>
      </x:c>
      <x:c r="H13" s="58"/>
      <x:c r="I13" s="58"/>
      <x:c r="J13" s="59" t="str">
        <x:f>IF(OR(I13="",G13=""),"",I13-G13)</x:f>
      </x:c>
      <x:c r="K13" s="131" t="str">
        <x:f>IFERROR(J13/G13,"")</x:f>
      </x:c>
      <x:c r="L13" s="49"/>
      <x:c r="M13" s="49"/>
    </x:row>
    <x:row r="14">
      <x:c r="A14" s="49"/>
      <x:c r="B14" s="71"/>
      <x:c r="C14" s="49"/>
      <x:c r="D14" s="49"/>
      <x:c r="E14" s="134"/>
      <x:c r="F14" s="59" t="str">
        <x:f>IF(C14="PANEL",IFERROR(INDEX('3. Ceník'!$H$6:$H$16,MATCH(D14,'3. Ceník'!$A$6:$A$16,0)),""),IF(C14="SLUŽBA",IFERROR(INDEX('2. Vstupy'!$D$40:$D$48,MATCH(D14,'2. Vstupy'!$A$40:$A$48,0)),""),""))</x:f>
      </x:c>
      <x:c r="G14" s="59" t="str">
        <x:f>IF(OR(E14="",F14=""),"",E14*F14)</x:f>
      </x:c>
      <x:c r="H14" s="58"/>
      <x:c r="I14" s="58"/>
      <x:c r="J14" s="59" t="str">
        <x:f>IF(OR(I14="",G14=""),"",I14-G14)</x:f>
      </x:c>
      <x:c r="K14" s="131" t="str">
        <x:f>IFERROR(J14/G14,"")</x:f>
      </x:c>
      <x:c r="L14" s="49"/>
      <x:c r="M14" s="49"/>
    </x:row>
    <x:row r="15">
      <x:c r="A15" s="49"/>
      <x:c r="B15" s="71"/>
      <x:c r="C15" s="49"/>
      <x:c r="D15" s="49"/>
      <x:c r="E15" s="134"/>
      <x:c r="F15" s="59" t="str">
        <x:f>IF(C15="PANEL",IFERROR(INDEX('3. Ceník'!$H$6:$H$16,MATCH(D15,'3. Ceník'!$A$6:$A$16,0)),""),IF(C15="SLUŽBA",IFERROR(INDEX('2. Vstupy'!$D$40:$D$48,MATCH(D15,'2. Vstupy'!$A$40:$A$48,0)),""),""))</x:f>
      </x:c>
      <x:c r="G15" s="59" t="str">
        <x:f>IF(OR(E15="",F15=""),"",E15*F15)</x:f>
      </x:c>
      <x:c r="H15" s="58"/>
      <x:c r="I15" s="58"/>
      <x:c r="J15" s="59" t="str">
        <x:f>IF(OR(I15="",G15=""),"",I15-G15)</x:f>
      </x:c>
      <x:c r="K15" s="131" t="str">
        <x:f>IFERROR(J15/G15,"")</x:f>
      </x:c>
      <x:c r="L15" s="49"/>
      <x:c r="M15" s="49"/>
    </x:row>
    <x:row r="16">
      <x:c r="A16" s="49"/>
      <x:c r="B16" s="71"/>
      <x:c r="C16" s="49"/>
      <x:c r="D16" s="49"/>
      <x:c r="E16" s="134"/>
      <x:c r="F16" s="59" t="str">
        <x:f>IF(C16="PANEL",IFERROR(INDEX('3. Ceník'!$H$6:$H$16,MATCH(D16,'3. Ceník'!$A$6:$A$16,0)),""),IF(C16="SLUŽBA",IFERROR(INDEX('2. Vstupy'!$D$40:$D$48,MATCH(D16,'2. Vstupy'!$A$40:$A$48,0)),""),""))</x:f>
      </x:c>
      <x:c r="G16" s="59" t="str">
        <x:f>IF(OR(E16="",F16=""),"",E16*F16)</x:f>
      </x:c>
      <x:c r="H16" s="58"/>
      <x:c r="I16" s="58"/>
      <x:c r="J16" s="59" t="str">
        <x:f>IF(OR(I16="",G16=""),"",I16-G16)</x:f>
      </x:c>
      <x:c r="K16" s="131" t="str">
        <x:f>IFERROR(J16/G16,"")</x:f>
      </x:c>
      <x:c r="L16" s="49"/>
      <x:c r="M16" s="49"/>
    </x:row>
    <x:row r="17">
      <x:c r="A17" s="49"/>
      <x:c r="B17" s="71"/>
      <x:c r="C17" s="49"/>
      <x:c r="D17" s="49"/>
      <x:c r="E17" s="134"/>
      <x:c r="F17" s="59" t="str">
        <x:f>IF(C17="PANEL",IFERROR(INDEX('3. Ceník'!$H$6:$H$16,MATCH(D17,'3. Ceník'!$A$6:$A$16,0)),""),IF(C17="SLUŽBA",IFERROR(INDEX('2. Vstupy'!$D$40:$D$48,MATCH(D17,'2. Vstupy'!$A$40:$A$48,0)),""),""))</x:f>
      </x:c>
      <x:c r="G17" s="59" t="str">
        <x:f>IF(OR(E17="",F17=""),"",E17*F17)</x:f>
      </x:c>
      <x:c r="H17" s="58"/>
      <x:c r="I17" s="58"/>
      <x:c r="J17" s="59" t="str">
        <x:f>IF(OR(I17="",G17=""),"",I17-G17)</x:f>
      </x:c>
      <x:c r="K17" s="131" t="str">
        <x:f>IFERROR(J17/G17,"")</x:f>
      </x:c>
      <x:c r="L17" s="49"/>
      <x:c r="M17" s="49"/>
    </x:row>
    <x:row r="18">
      <x:c r="A18" s="49"/>
      <x:c r="B18" s="71"/>
      <x:c r="C18" s="49"/>
      <x:c r="D18" s="49"/>
      <x:c r="E18" s="134"/>
      <x:c r="F18" s="59" t="str">
        <x:f>IF(C18="PANEL",IFERROR(INDEX('3. Ceník'!$H$6:$H$16,MATCH(D18,'3. Ceník'!$A$6:$A$16,0)),""),IF(C18="SLUŽBA",IFERROR(INDEX('2. Vstupy'!$D$40:$D$48,MATCH(D18,'2. Vstupy'!$A$40:$A$48,0)),""),""))</x:f>
      </x:c>
      <x:c r="G18" s="59" t="str">
        <x:f>IF(OR(E18="",F18=""),"",E18*F18)</x:f>
      </x:c>
      <x:c r="H18" s="58"/>
      <x:c r="I18" s="58"/>
      <x:c r="J18" s="59" t="str">
        <x:f>IF(OR(I18="",G18=""),"",I18-G18)</x:f>
      </x:c>
      <x:c r="K18" s="131" t="str">
        <x:f>IFERROR(J18/G18,"")</x:f>
      </x:c>
      <x:c r="L18" s="49"/>
      <x:c r="M18" s="49"/>
    </x:row>
    <x:row r="19">
      <x:c r="A19" s="49"/>
      <x:c r="B19" s="71"/>
      <x:c r="C19" s="49"/>
      <x:c r="D19" s="49"/>
      <x:c r="E19" s="134"/>
      <x:c r="F19" s="59" t="str">
        <x:f>IF(C19="PANEL",IFERROR(INDEX('3. Ceník'!$H$6:$H$16,MATCH(D19,'3. Ceník'!$A$6:$A$16,0)),""),IF(C19="SLUŽBA",IFERROR(INDEX('2. Vstupy'!$D$40:$D$48,MATCH(D19,'2. Vstupy'!$A$40:$A$48,0)),""),""))</x:f>
      </x:c>
      <x:c r="G19" s="59" t="str">
        <x:f>IF(OR(E19="",F19=""),"",E19*F19)</x:f>
      </x:c>
      <x:c r="H19" s="58"/>
      <x:c r="I19" s="58"/>
      <x:c r="J19" s="59" t="str">
        <x:f>IF(OR(I19="",G19=""),"",I19-G19)</x:f>
      </x:c>
      <x:c r="K19" s="131" t="str">
        <x:f>IFERROR(J19/G19,"")</x:f>
      </x:c>
      <x:c r="L19" s="49"/>
      <x:c r="M19" s="49"/>
    </x:row>
    <x:row r="20">
      <x:c r="A20" s="49"/>
      <x:c r="B20" s="71"/>
      <x:c r="C20" s="49"/>
      <x:c r="D20" s="49"/>
      <x:c r="E20" s="134"/>
      <x:c r="F20" s="59" t="str">
        <x:f>IF(C20="PANEL",IFERROR(INDEX('3. Ceník'!$H$6:$H$16,MATCH(D20,'3. Ceník'!$A$6:$A$16,0)),""),IF(C20="SLUŽBA",IFERROR(INDEX('2. Vstupy'!$D$40:$D$48,MATCH(D20,'2. Vstupy'!$A$40:$A$48,0)),""),""))</x:f>
      </x:c>
      <x:c r="G20" s="59" t="str">
        <x:f>IF(OR(E20="",F20=""),"",E20*F20)</x:f>
      </x:c>
      <x:c r="H20" s="58"/>
      <x:c r="I20" s="58"/>
      <x:c r="J20" s="59" t="str">
        <x:f>IF(OR(I20="",G20=""),"",I20-G20)</x:f>
      </x:c>
      <x:c r="K20" s="131" t="str">
        <x:f>IFERROR(J20/G20,"")</x:f>
      </x:c>
      <x:c r="L20" s="49"/>
      <x:c r="M20" s="49"/>
    </x:row>
    <x:row r="21">
      <x:c r="A21" s="49"/>
      <x:c r="B21" s="71"/>
      <x:c r="C21" s="49"/>
      <x:c r="D21" s="49"/>
      <x:c r="E21" s="134"/>
      <x:c r="F21" s="59" t="str">
        <x:f>IF(C21="PANEL",IFERROR(INDEX('3. Ceník'!$H$6:$H$16,MATCH(D21,'3. Ceník'!$A$6:$A$16,0)),""),IF(C21="SLUŽBA",IFERROR(INDEX('2. Vstupy'!$D$40:$D$48,MATCH(D21,'2. Vstupy'!$A$40:$A$48,0)),""),""))</x:f>
      </x:c>
      <x:c r="G21" s="59" t="str">
        <x:f>IF(OR(E21="",F21=""),"",E21*F21)</x:f>
      </x:c>
      <x:c r="H21" s="58"/>
      <x:c r="I21" s="58"/>
      <x:c r="J21" s="59" t="str">
        <x:f>IF(OR(I21="",G21=""),"",I21-G21)</x:f>
      </x:c>
      <x:c r="K21" s="131" t="str">
        <x:f>IFERROR(J21/G21,"")</x:f>
      </x:c>
      <x:c r="L21" s="49"/>
      <x:c r="M21" s="49"/>
    </x:row>
    <x:row r="22">
      <x:c r="A22" s="49"/>
      <x:c r="B22" s="71"/>
      <x:c r="C22" s="49"/>
      <x:c r="D22" s="49"/>
      <x:c r="E22" s="134"/>
      <x:c r="F22" s="59" t="str">
        <x:f>IF(C22="PANEL",IFERROR(INDEX('3. Ceník'!$H$6:$H$16,MATCH(D22,'3. Ceník'!$A$6:$A$16,0)),""),IF(C22="SLUŽBA",IFERROR(INDEX('2. Vstupy'!$D$40:$D$48,MATCH(D22,'2. Vstupy'!$A$40:$A$48,0)),""),""))</x:f>
      </x:c>
      <x:c r="G22" s="59" t="str">
        <x:f>IF(OR(E22="",F22=""),"",E22*F22)</x:f>
      </x:c>
      <x:c r="H22" s="58"/>
      <x:c r="I22" s="58"/>
      <x:c r="J22" s="59" t="str">
        <x:f>IF(OR(I22="",G22=""),"",I22-G22)</x:f>
      </x:c>
      <x:c r="K22" s="131" t="str">
        <x:f>IFERROR(J22/G22,"")</x:f>
      </x:c>
      <x:c r="L22" s="49"/>
      <x:c r="M22" s="49"/>
    </x:row>
    <x:row r="23">
      <x:c r="A23" s="49"/>
      <x:c r="B23" s="71"/>
      <x:c r="C23" s="49"/>
      <x:c r="D23" s="49"/>
      <x:c r="E23" s="134"/>
      <x:c r="F23" s="59" t="str">
        <x:f>IF(C23="PANEL",IFERROR(INDEX('3. Ceník'!$H$6:$H$16,MATCH(D23,'3. Ceník'!$A$6:$A$16,0)),""),IF(C23="SLUŽBA",IFERROR(INDEX('2. Vstupy'!$D$40:$D$48,MATCH(D23,'2. Vstupy'!$A$40:$A$48,0)),""),""))</x:f>
      </x:c>
      <x:c r="G23" s="59" t="str">
        <x:f>IF(OR(E23="",F23=""),"",E23*F23)</x:f>
      </x:c>
      <x:c r="H23" s="58"/>
      <x:c r="I23" s="58"/>
      <x:c r="J23" s="59" t="str">
        <x:f>IF(OR(I23="",G23=""),"",I23-G23)</x:f>
      </x:c>
      <x:c r="K23" s="131" t="str">
        <x:f>IFERROR(J23/G23,"")</x:f>
      </x:c>
      <x:c r="L23" s="49"/>
      <x:c r="M23" s="49"/>
    </x:row>
    <x:row r="24">
      <x:c r="A24" s="49"/>
      <x:c r="B24" s="71"/>
      <x:c r="C24" s="49"/>
      <x:c r="D24" s="49"/>
      <x:c r="E24" s="134"/>
      <x:c r="F24" s="59" t="str">
        <x:f>IF(C24="PANEL",IFERROR(INDEX('3. Ceník'!$H$6:$H$16,MATCH(D24,'3. Ceník'!$A$6:$A$16,0)),""),IF(C24="SLUŽBA",IFERROR(INDEX('2. Vstupy'!$D$40:$D$48,MATCH(D24,'2. Vstupy'!$A$40:$A$48,0)),""),""))</x:f>
      </x:c>
      <x:c r="G24" s="59" t="str">
        <x:f>IF(OR(E24="",F24=""),"",E24*F24)</x:f>
      </x:c>
      <x:c r="H24" s="58"/>
      <x:c r="I24" s="58"/>
      <x:c r="J24" s="59" t="str">
        <x:f>IF(OR(I24="",G24=""),"",I24-G24)</x:f>
      </x:c>
      <x:c r="K24" s="131" t="str">
        <x:f>IFERROR(J24/G24,"")</x:f>
      </x:c>
      <x:c r="L24" s="49"/>
      <x:c r="M24" s="49"/>
    </x:row>
    <x:row r="25">
      <x:c r="A25" s="49"/>
      <x:c r="B25" s="71"/>
      <x:c r="C25" s="49"/>
      <x:c r="D25" s="49"/>
      <x:c r="E25" s="134"/>
      <x:c r="F25" s="59" t="str">
        <x:f>IF(C25="PANEL",IFERROR(INDEX('3. Ceník'!$H$6:$H$16,MATCH(D25,'3. Ceník'!$A$6:$A$16,0)),""),IF(C25="SLUŽBA",IFERROR(INDEX('2. Vstupy'!$D$40:$D$48,MATCH(D25,'2. Vstupy'!$A$40:$A$48,0)),""),""))</x:f>
      </x:c>
      <x:c r="G25" s="59" t="str">
        <x:f>IF(OR(E25="",F25=""),"",E25*F25)</x:f>
      </x:c>
      <x:c r="H25" s="58"/>
      <x:c r="I25" s="58"/>
      <x:c r="J25" s="59" t="str">
        <x:f>IF(OR(I25="",G25=""),"",I25-G25)</x:f>
      </x:c>
      <x:c r="K25" s="131" t="str">
        <x:f>IFERROR(J25/G25,"")</x:f>
      </x:c>
      <x:c r="L25" s="49"/>
      <x:c r="M25" s="49"/>
    </x:row>
    <x:row r="26">
      <x:c r="A26" s="49"/>
      <x:c r="B26" s="71"/>
      <x:c r="C26" s="49"/>
      <x:c r="D26" s="49"/>
      <x:c r="E26" s="134"/>
      <x:c r="F26" s="59" t="str">
        <x:f>IF(C26="PANEL",IFERROR(INDEX('3. Ceník'!$H$6:$H$16,MATCH(D26,'3. Ceník'!$A$6:$A$16,0)),""),IF(C26="SLUŽBA",IFERROR(INDEX('2. Vstupy'!$D$40:$D$48,MATCH(D26,'2. Vstupy'!$A$40:$A$48,0)),""),""))</x:f>
      </x:c>
      <x:c r="G26" s="59" t="str">
        <x:f>IF(OR(E26="",F26=""),"",E26*F26)</x:f>
      </x:c>
      <x:c r="H26" s="58"/>
      <x:c r="I26" s="58"/>
      <x:c r="J26" s="59" t="str">
        <x:f>IF(OR(I26="",G26=""),"",I26-G26)</x:f>
      </x:c>
      <x:c r="K26" s="131" t="str">
        <x:f>IFERROR(J26/G26,"")</x:f>
      </x:c>
      <x:c r="L26" s="49"/>
      <x:c r="M26" s="49"/>
    </x:row>
    <x:row r="27">
      <x:c r="A27" s="49"/>
      <x:c r="B27" s="71"/>
      <x:c r="C27" s="49"/>
      <x:c r="D27" s="49"/>
      <x:c r="E27" s="134"/>
      <x:c r="F27" s="59" t="str">
        <x:f>IF(C27="PANEL",IFERROR(INDEX('3. Ceník'!$H$6:$H$16,MATCH(D27,'3. Ceník'!$A$6:$A$16,0)),""),IF(C27="SLUŽBA",IFERROR(INDEX('2. Vstupy'!$D$40:$D$48,MATCH(D27,'2. Vstupy'!$A$40:$A$48,0)),""),""))</x:f>
      </x:c>
      <x:c r="G27" s="59" t="str">
        <x:f>IF(OR(E27="",F27=""),"",E27*F27)</x:f>
      </x:c>
      <x:c r="H27" s="58"/>
      <x:c r="I27" s="58"/>
      <x:c r="J27" s="59" t="str">
        <x:f>IF(OR(I27="",G27=""),"",I27-G27)</x:f>
      </x:c>
      <x:c r="K27" s="131" t="str">
        <x:f>IFERROR(J27/G27,"")</x:f>
      </x:c>
      <x:c r="L27" s="49"/>
      <x:c r="M27" s="49"/>
    </x:row>
    <x:row r="28">
      <x:c r="A28" s="49"/>
      <x:c r="B28" s="71"/>
      <x:c r="C28" s="49"/>
      <x:c r="D28" s="49"/>
      <x:c r="E28" s="134"/>
      <x:c r="F28" s="59" t="str">
        <x:f>IF(C28="PANEL",IFERROR(INDEX('3. Ceník'!$H$6:$H$16,MATCH(D28,'3. Ceník'!$A$6:$A$16,0)),""),IF(C28="SLUŽBA",IFERROR(INDEX('2. Vstupy'!$D$40:$D$48,MATCH(D28,'2. Vstupy'!$A$40:$A$48,0)),""),""))</x:f>
      </x:c>
      <x:c r="G28" s="59" t="str">
        <x:f>IF(OR(E28="",F28=""),"",E28*F28)</x:f>
      </x:c>
      <x:c r="H28" s="58"/>
      <x:c r="I28" s="58"/>
      <x:c r="J28" s="59" t="str">
        <x:f>IF(OR(I28="",G28=""),"",I28-G28)</x:f>
      </x:c>
      <x:c r="K28" s="131" t="str">
        <x:f>IFERROR(J28/G28,"")</x:f>
      </x:c>
      <x:c r="L28" s="49"/>
      <x:c r="M28" s="49"/>
    </x:row>
    <x:row r="29">
      <x:c r="A29" s="49"/>
      <x:c r="B29" s="71"/>
      <x:c r="C29" s="49"/>
      <x:c r="D29" s="49"/>
      <x:c r="E29" s="134"/>
      <x:c r="F29" s="59" t="str">
        <x:f>IF(C29="PANEL",IFERROR(INDEX('3. Ceník'!$H$6:$H$16,MATCH(D29,'3. Ceník'!$A$6:$A$16,0)),""),IF(C29="SLUŽBA",IFERROR(INDEX('2. Vstupy'!$D$40:$D$48,MATCH(D29,'2. Vstupy'!$A$40:$A$48,0)),""),""))</x:f>
      </x:c>
      <x:c r="G29" s="59" t="str">
        <x:f>IF(OR(E29="",F29=""),"",E29*F29)</x:f>
      </x:c>
      <x:c r="H29" s="58"/>
      <x:c r="I29" s="58"/>
      <x:c r="J29" s="59" t="str">
        <x:f>IF(OR(I29="",G29=""),"",I29-G29)</x:f>
      </x:c>
      <x:c r="K29" s="131" t="str">
        <x:f>IFERROR(J29/G29,"")</x:f>
      </x:c>
      <x:c r="L29" s="49"/>
      <x:c r="M29" s="49"/>
    </x:row>
    <x:row r="30">
      <x:c r="A30" s="49"/>
      <x:c r="B30" s="71"/>
      <x:c r="C30" s="49"/>
      <x:c r="D30" s="49"/>
      <x:c r="E30" s="134"/>
      <x:c r="F30" s="59" t="str">
        <x:f>IF(C30="PANEL",IFERROR(INDEX('3. Ceník'!$H$6:$H$16,MATCH(D30,'3. Ceník'!$A$6:$A$16,0)),""),IF(C30="SLUŽBA",IFERROR(INDEX('2. Vstupy'!$D$40:$D$48,MATCH(D30,'2. Vstupy'!$A$40:$A$48,0)),""),""))</x:f>
      </x:c>
      <x:c r="G30" s="59" t="str">
        <x:f>IF(OR(E30="",F30=""),"",E30*F30)</x:f>
      </x:c>
      <x:c r="H30" s="58"/>
      <x:c r="I30" s="58"/>
      <x:c r="J30" s="59" t="str">
        <x:f>IF(OR(I30="",G30=""),"",I30-G30)</x:f>
      </x:c>
      <x:c r="K30" s="131" t="str">
        <x:f>IFERROR(J30/G30,"")</x:f>
      </x:c>
      <x:c r="L30" s="49"/>
      <x:c r="M30" s="49"/>
    </x:row>
    <x:row r="31">
      <x:c r="A31" s="49"/>
      <x:c r="B31" s="71"/>
      <x:c r="C31" s="49"/>
      <x:c r="D31" s="49"/>
      <x:c r="E31" s="134"/>
      <x:c r="F31" s="59" t="str">
        <x:f>IF(C31="PANEL",IFERROR(INDEX('3. Ceník'!$H$6:$H$16,MATCH(D31,'3. Ceník'!$A$6:$A$16,0)),""),IF(C31="SLUŽBA",IFERROR(INDEX('2. Vstupy'!$D$40:$D$48,MATCH(D31,'2. Vstupy'!$A$40:$A$48,0)),""),""))</x:f>
      </x:c>
      <x:c r="G31" s="59" t="str">
        <x:f>IF(OR(E31="",F31=""),"",E31*F31)</x:f>
      </x:c>
      <x:c r="H31" s="58"/>
      <x:c r="I31" s="58"/>
      <x:c r="J31" s="59" t="str">
        <x:f>IF(OR(I31="",G31=""),"",I31-G31)</x:f>
      </x:c>
      <x:c r="K31" s="131" t="str">
        <x:f>IFERROR(J31/G31,"")</x:f>
      </x:c>
      <x:c r="L31" s="49"/>
      <x:c r="M31" s="49"/>
    </x:row>
    <x:row r="32">
      <x:c r="A32" s="49"/>
      <x:c r="B32" s="71"/>
      <x:c r="C32" s="49"/>
      <x:c r="D32" s="49"/>
      <x:c r="E32" s="134"/>
      <x:c r="F32" s="59" t="str">
        <x:f>IF(C32="PANEL",IFERROR(INDEX('3. Ceník'!$H$6:$H$16,MATCH(D32,'3. Ceník'!$A$6:$A$16,0)),""),IF(C32="SLUŽBA",IFERROR(INDEX('2. Vstupy'!$D$40:$D$48,MATCH(D32,'2. Vstupy'!$A$40:$A$48,0)),""),""))</x:f>
      </x:c>
      <x:c r="G32" s="59" t="str">
        <x:f>IF(OR(E32="",F32=""),"",E32*F32)</x:f>
      </x:c>
      <x:c r="H32" s="58"/>
      <x:c r="I32" s="58"/>
      <x:c r="J32" s="59" t="str">
        <x:f>IF(OR(I32="",G32=""),"",I32-G32)</x:f>
      </x:c>
      <x:c r="K32" s="131" t="str">
        <x:f>IFERROR(J32/G32,"")</x:f>
      </x:c>
      <x:c r="L32" s="49"/>
      <x:c r="M32" s="49"/>
    </x:row>
    <x:row r="33">
      <x:c r="A33" s="49"/>
      <x:c r="B33" s="71"/>
      <x:c r="C33" s="49"/>
      <x:c r="D33" s="49"/>
      <x:c r="E33" s="134"/>
      <x:c r="F33" s="59" t="str">
        <x:f>IF(C33="PANEL",IFERROR(INDEX('3. Ceník'!$H$6:$H$16,MATCH(D33,'3. Ceník'!$A$6:$A$16,0)),""),IF(C33="SLUŽBA",IFERROR(INDEX('2. Vstupy'!$D$40:$D$48,MATCH(D33,'2. Vstupy'!$A$40:$A$48,0)),""),""))</x:f>
      </x:c>
      <x:c r="G33" s="59" t="str">
        <x:f>IF(OR(E33="",F33=""),"",E33*F33)</x:f>
      </x:c>
      <x:c r="H33" s="58"/>
      <x:c r="I33" s="58"/>
      <x:c r="J33" s="59" t="str">
        <x:f>IF(OR(I33="",G33=""),"",I33-G33)</x:f>
      </x:c>
      <x:c r="K33" s="131" t="str">
        <x:f>IFERROR(J33/G33,"")</x:f>
      </x:c>
      <x:c r="L33" s="49"/>
      <x:c r="M33" s="49"/>
    </x:row>
    <x:row r="34">
      <x:c r="A34" s="49"/>
      <x:c r="B34" s="71"/>
      <x:c r="C34" s="49"/>
      <x:c r="D34" s="49"/>
      <x:c r="E34" s="134"/>
      <x:c r="F34" s="59" t="str">
        <x:f>IF(C34="PANEL",IFERROR(INDEX('3. Ceník'!$H$6:$H$16,MATCH(D34,'3. Ceník'!$A$6:$A$16,0)),""),IF(C34="SLUŽBA",IFERROR(INDEX('2. Vstupy'!$D$40:$D$48,MATCH(D34,'2. Vstupy'!$A$40:$A$48,0)),""),""))</x:f>
      </x:c>
      <x:c r="G34" s="59" t="str">
        <x:f>IF(OR(E34="",F34=""),"",E34*F34)</x:f>
      </x:c>
      <x:c r="H34" s="58"/>
      <x:c r="I34" s="58"/>
      <x:c r="J34" s="59" t="str">
        <x:f>IF(OR(I34="",G34=""),"",I34-G34)</x:f>
      </x:c>
      <x:c r="K34" s="131" t="str">
        <x:f>IFERROR(J34/G34,"")</x:f>
      </x:c>
      <x:c r="L34" s="49"/>
      <x:c r="M34" s="49"/>
    </x:row>
    <x:row r="35">
      <x:c r="A35" s="49"/>
      <x:c r="B35" s="71"/>
      <x:c r="C35" s="49"/>
      <x:c r="D35" s="49"/>
      <x:c r="E35" s="134"/>
      <x:c r="F35" s="59" t="str">
        <x:f>IF(C35="PANEL",IFERROR(INDEX('3. Ceník'!$H$6:$H$16,MATCH(D35,'3. Ceník'!$A$6:$A$16,0)),""),IF(C35="SLUŽBA",IFERROR(INDEX('2. Vstupy'!$D$40:$D$48,MATCH(D35,'2. Vstupy'!$A$40:$A$48,0)),""),""))</x:f>
      </x:c>
      <x:c r="G35" s="59" t="str">
        <x:f>IF(OR(E35="",F35=""),"",E35*F35)</x:f>
      </x:c>
      <x:c r="H35" s="58"/>
      <x:c r="I35" s="58"/>
      <x:c r="J35" s="59" t="str">
        <x:f>IF(OR(I35="",G35=""),"",I35-G35)</x:f>
      </x:c>
      <x:c r="K35" s="131" t="str">
        <x:f>IFERROR(J35/G35,"")</x:f>
      </x:c>
      <x:c r="L35" s="49"/>
      <x:c r="M35" s="49"/>
    </x:row>
    <x:row r="36">
      <x:c r="A36" s="49"/>
      <x:c r="B36" s="71"/>
      <x:c r="C36" s="49"/>
      <x:c r="D36" s="49"/>
      <x:c r="E36" s="134"/>
      <x:c r="F36" s="59" t="str">
        <x:f>IF(C36="PANEL",IFERROR(INDEX('3. Ceník'!$H$6:$H$16,MATCH(D36,'3. Ceník'!$A$6:$A$16,0)),""),IF(C36="SLUŽBA",IFERROR(INDEX('2. Vstupy'!$D$40:$D$48,MATCH(D36,'2. Vstupy'!$A$40:$A$48,0)),""),""))</x:f>
      </x:c>
      <x:c r="G36" s="59" t="str">
        <x:f>IF(OR(E36="",F36=""),"",E36*F36)</x:f>
      </x:c>
      <x:c r="H36" s="58"/>
      <x:c r="I36" s="58"/>
      <x:c r="J36" s="59" t="str">
        <x:f>IF(OR(I36="",G36=""),"",I36-G36)</x:f>
      </x:c>
      <x:c r="K36" s="131" t="str">
        <x:f>IFERROR(J36/G36,"")</x:f>
      </x:c>
      <x:c r="L36" s="49"/>
      <x:c r="M36" s="49"/>
    </x:row>
    <x:row r="37">
      <x:c r="A37" s="49"/>
      <x:c r="B37" s="71"/>
      <x:c r="C37" s="49"/>
      <x:c r="D37" s="49"/>
      <x:c r="E37" s="134"/>
      <x:c r="F37" s="59" t="str">
        <x:f>IF(C37="PANEL",IFERROR(INDEX('3. Ceník'!$H$6:$H$16,MATCH(D37,'3. Ceník'!$A$6:$A$16,0)),""),IF(C37="SLUŽBA",IFERROR(INDEX('2. Vstupy'!$D$40:$D$48,MATCH(D37,'2. Vstupy'!$A$40:$A$48,0)),""),""))</x:f>
      </x:c>
      <x:c r="G37" s="59" t="str">
        <x:f>IF(OR(E37="",F37=""),"",E37*F37)</x:f>
      </x:c>
      <x:c r="H37" s="58"/>
      <x:c r="I37" s="58"/>
      <x:c r="J37" s="59" t="str">
        <x:f>IF(OR(I37="",G37=""),"",I37-G37)</x:f>
      </x:c>
      <x:c r="K37" s="131" t="str">
        <x:f>IFERROR(J37/G37,"")</x:f>
      </x:c>
      <x:c r="L37" s="49"/>
      <x:c r="M37" s="49"/>
    </x:row>
    <x:row r="38">
      <x:c r="A38" s="49"/>
      <x:c r="B38" s="71"/>
      <x:c r="C38" s="49"/>
      <x:c r="D38" s="49"/>
      <x:c r="E38" s="134"/>
      <x:c r="F38" s="59" t="str">
        <x:f>IF(C38="PANEL",IFERROR(INDEX('3. Ceník'!$H$6:$H$16,MATCH(D38,'3. Ceník'!$A$6:$A$16,0)),""),IF(C38="SLUŽBA",IFERROR(INDEX('2. Vstupy'!$D$40:$D$48,MATCH(D38,'2. Vstupy'!$A$40:$A$48,0)),""),""))</x:f>
      </x:c>
      <x:c r="G38" s="59" t="str">
        <x:f>IF(OR(E38="",F38=""),"",E38*F38)</x:f>
      </x:c>
      <x:c r="H38" s="58"/>
      <x:c r="I38" s="58"/>
      <x:c r="J38" s="59" t="str">
        <x:f>IF(OR(I38="",G38=""),"",I38-G38)</x:f>
      </x:c>
      <x:c r="K38" s="131" t="str">
        <x:f>IFERROR(J38/G38,"")</x:f>
      </x:c>
      <x:c r="L38" s="49"/>
      <x:c r="M38" s="49"/>
    </x:row>
    <x:row r="39">
      <x:c r="A39" s="49"/>
      <x:c r="B39" s="71"/>
      <x:c r="C39" s="49"/>
      <x:c r="D39" s="49"/>
      <x:c r="E39" s="134"/>
      <x:c r="F39" s="59" t="str">
        <x:f>IF(C39="PANEL",IFERROR(INDEX('3. Ceník'!$H$6:$H$16,MATCH(D39,'3. Ceník'!$A$6:$A$16,0)),""),IF(C39="SLUŽBA",IFERROR(INDEX('2. Vstupy'!$D$40:$D$48,MATCH(D39,'2. Vstupy'!$A$40:$A$48,0)),""),""))</x:f>
      </x:c>
      <x:c r="G39" s="59" t="str">
        <x:f>IF(OR(E39="",F39=""),"",E39*F39)</x:f>
      </x:c>
      <x:c r="H39" s="58"/>
      <x:c r="I39" s="58"/>
      <x:c r="J39" s="59" t="str">
        <x:f>IF(OR(I39="",G39=""),"",I39-G39)</x:f>
      </x:c>
      <x:c r="K39" s="131" t="str">
        <x:f>IFERROR(J39/G39,"")</x:f>
      </x:c>
      <x:c r="L39" s="49"/>
      <x:c r="M39" s="49"/>
    </x:row>
    <x:row r="40">
      <x:c r="A40" s="49"/>
      <x:c r="B40" s="71"/>
      <x:c r="C40" s="49"/>
      <x:c r="D40" s="49"/>
      <x:c r="E40" s="134"/>
      <x:c r="F40" s="59" t="str">
        <x:f>IF(C40="PANEL",IFERROR(INDEX('3. Ceník'!$H$6:$H$16,MATCH(D40,'3. Ceník'!$A$6:$A$16,0)),""),IF(C40="SLUŽBA",IFERROR(INDEX('2. Vstupy'!$D$40:$D$48,MATCH(D40,'2. Vstupy'!$A$40:$A$48,0)),""),""))</x:f>
      </x:c>
      <x:c r="G40" s="59" t="str">
        <x:f>IF(OR(E40="",F40=""),"",E40*F40)</x:f>
      </x:c>
      <x:c r="H40" s="58"/>
      <x:c r="I40" s="58"/>
      <x:c r="J40" s="59" t="str">
        <x:f>IF(OR(I40="",G40=""),"",I40-G40)</x:f>
      </x:c>
      <x:c r="K40" s="131" t="str">
        <x:f>IFERROR(J40/G40,"")</x:f>
      </x:c>
      <x:c r="L40" s="49"/>
      <x:c r="M40" s="49"/>
    </x:row>
  </x:sheetData>
  <x:mergeCells>
    <x:mergeCell ref="A1:M1"/>
    <x:mergeCell ref="A2:M2"/>
    <x:mergeCell ref="A9:M9"/>
  </x:mergeCells>
  <x:dataValidations count="1">
    <x:dataValidation type="list" sqref="C11:C40">
      <x:formula1>"PANEL,SLUŽBA"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3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</x:cols>
  <x:sheetData>
    <x:row r="1" ht="34" customHeight="1">
      <x:c r="A1" s="238" t="str">
        <x:v>VESPER FRAMES — ČÍSELNÍK MATERIÁLŮ A NÁKLADOVÝCH CEN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</x:row>
    <x:row r="2" ht="25" customHeight="1">
      <x:c r="A2" s="239" t="str">
        <x:v>Každý materiál se oceňuje pouze zde. Žlutá pole jsou vstupy; skladby panelů přebírají cenu, specifikaci, jednotku i stav automaticky.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</x:row>
    <x:row r="4" ht="24" customHeight="1">
      <x:c r="A4" s="240" t="str">
        <x:v>8.1 AKTIVNÍ ČÍSELNÍK — 51 UNIKÁTNÍCH MATERIÁLŮ PRO 68 POUŽITÍ (17 DUPLICITNÍCH CEN ODSTRANĚNO)</x:v>
      </x:c>
      <x:c r="B4" s="240"/>
      <x:c r="C4" s="240"/>
      <x:c r="D4" s="240"/>
      <x:c r="E4" s="240"/>
      <x:c r="F4" s="240"/>
      <x:c r="G4" s="240"/>
      <x:c r="H4" s="240"/>
      <x:c r="I4" s="240"/>
      <x:c r="J4" s="240"/>
      <x:c r="K4" s="240"/>
      <x:c r="L4" s="240"/>
    </x:row>
    <x:row r="5" ht="30" customHeight="1">
      <x:c r="A5" s="188" t="str">
        <x:v>Kód materiálu</x:v>
      </x:c>
      <x:c r="B5" s="188" t="str">
        <x:v>Název / technická specifikace</x:v>
      </x:c>
      <x:c r="C5" s="188" t="str">
        <x:v>Tloušťka mm</x:v>
      </x:c>
      <x:c r="D5" s="188" t="str">
        <x:v>MJ</x:v>
      </x:c>
      <x:c r="E5" s="188" t="str">
        <x:v>Nákupní cena po rabatu</x:v>
      </x:c>
      <x:c r="F5" s="188" t="str">
        <x:v>Pořizovací přirážka</x:v>
      </x:c>
      <x:c r="G5" s="188" t="str">
        <x:v>Nákladová cena/MJ</x:v>
      </x:c>
      <x:c r="H5" s="188" t="str">
        <x:v>Dodavatel / zdroj ceny</x:v>
      </x:c>
      <x:c r="I5" s="188" t="str">
        <x:v>Platnost ceny od</x:v>
      </x:c>
      <x:c r="J5" s="188" t="str">
        <x:v>Potvrzeno</x:v>
      </x:c>
      <x:c r="K5" s="188" t="str">
        <x:v>Stav ceny</x:v>
      </x:c>
      <x:c r="L5" s="188" t="str">
        <x:v>Počet použití</x:v>
      </x:c>
    </x:row>
    <x:row r="6">
      <x:c r="A6" s="46" t="str">
        <x:v>MAT-001</x:v>
      </x:c>
      <x:c r="B6" s="46" t="str">
        <x:v>Fermacell 15 mm</x:v>
      </x:c>
      <x:c r="C6" s="208" t="n">
        <x:v>15</x:v>
      </x:c>
      <x:c r="D6" s="46" t="str">
        <x:v>m²</x:v>
      </x:c>
      <x:c r="E6" s="209" t="n">
        <x:v>280</x:v>
      </x:c>
      <x:c r="F6" s="210" t="n">
        <x:v>0</x:v>
      </x:c>
      <x:c r="G6" s="211" t="n">
        <x:f>E6*(1+F6)</x:f>
        <x:v>280</x:v>
      </x:c>
      <x:c r="H6" s="212" t="str">
        <x:v>VESPER_FRAMES_CENOTVORBA_ROZPAD_SKLADEB.xlsx</x:v>
      </x:c>
      <x:c r="I6" s="213"/>
      <x:c r="J6" s="212" t="str">
        <x:v>NE</x:v>
      </x:c>
      <x:c r="K6" s="89" t="str">
        <x:f>IF(AND(E6&gt;0,H6&lt;&gt;"",I6&lt;&gt;"",J6="ANO"),"POTVRZENO","ODHAD")</x:f>
        <x:v>ODHAD</x:v>
      </x:c>
      <x:c r="L6" s="214" t="n">
        <x:f>COUNTIF('4. Skladby'!$D$6:$D$73,A6)</x:f>
        <x:v>9</x:v>
      </x:c>
    </x:row>
    <x:row r="7">
      <x:c r="A7" s="47" t="str">
        <x:v>MAT-002</x:v>
      </x:c>
      <x:c r="B7" s="47" t="str">
        <x:v>Vesper VaporStop 0.2 mm</x:v>
      </x:c>
      <x:c r="C7" s="215" t="n">
        <x:v>0.2</x:v>
      </x:c>
      <x:c r="D7" s="47" t="str">
        <x:v>m²</x:v>
      </x:c>
      <x:c r="E7" s="216" t="n">
        <x:v>45</x:v>
      </x:c>
      <x:c r="F7" s="217" t="n">
        <x:v>0</x:v>
      </x:c>
      <x:c r="G7" s="218" t="n">
        <x:f>E7*(1+F7)</x:f>
        <x:v>45</x:v>
      </x:c>
      <x:c r="H7" s="219" t="str">
        <x:v>VESPER_FRAMES_CENOTVORBA_ROZPAD_SKLADEB.xlsx</x:v>
      </x:c>
      <x:c r="I7" s="220"/>
      <x:c r="J7" s="219" t="str">
        <x:v>NE</x:v>
      </x:c>
      <x:c r="K7" s="92" t="str">
        <x:f>IF(AND(E7&gt;0,H7&lt;&gt;"",I7&lt;&gt;"",J7="ANO"),"POTVRZENO","ODHAD")</x:f>
        <x:v>ODHAD</x:v>
      </x:c>
      <x:c r="L7" s="221" t="n">
        <x:f>COUNTIF('4. Skladby'!$D$6:$D$73,A7)</x:f>
        <x:v>3</x:v>
      </x:c>
    </x:row>
    <x:row r="8">
      <x:c r="A8" s="47" t="str">
        <x:v>MAT-003</x:v>
      </x:c>
      <x:c r="B8" s="47" t="str">
        <x:v>KVH hranol 160 mm</x:v>
      </x:c>
      <x:c r="C8" s="215" t="n">
        <x:v>160</x:v>
      </x:c>
      <x:c r="D8" s="47" t="str">
        <x:v>m³</x:v>
      </x:c>
      <x:c r="E8" s="216" t="n">
        <x:v>12500</x:v>
      </x:c>
      <x:c r="F8" s="217" t="n">
        <x:v>0</x:v>
      </x:c>
      <x:c r="G8" s="218" t="n">
        <x:f>E8*(1+F8)</x:f>
        <x:v>12500</x:v>
      </x:c>
      <x:c r="H8" s="219" t="str">
        <x:v>VESPER_FRAMES_CENOTVORBA_ROZPAD_SKLADEB.xlsx</x:v>
      </x:c>
      <x:c r="I8" s="220"/>
      <x:c r="J8" s="219" t="str">
        <x:v>NE</x:v>
      </x:c>
      <x:c r="K8" s="92" t="str">
        <x:f>IF(AND(E8&gt;0,H8&lt;&gt;"",I8&lt;&gt;"",J8="ANO"),"POTVRZENO","ODHAD")</x:f>
        <x:v>ODHAD</x:v>
      </x:c>
      <x:c r="L8" s="221" t="n">
        <x:f>COUNTIF('4. Skladby'!$D$6:$D$73,A8)</x:f>
        <x:v>1</x:v>
      </x:c>
    </x:row>
    <x:row r="9">
      <x:c r="A9" s="47" t="str">
        <x:v>MAT-004</x:v>
      </x:c>
      <x:c r="B9" s="47" t="str">
        <x:v>Isover Uni 160 mm</x:v>
      </x:c>
      <x:c r="C9" s="215" t="n">
        <x:v>160</x:v>
      </x:c>
      <x:c r="D9" s="47" t="str">
        <x:v>m²</x:v>
      </x:c>
      <x:c r="E9" s="216" t="n">
        <x:v>360</x:v>
      </x:c>
      <x:c r="F9" s="217" t="n">
        <x:v>0</x:v>
      </x:c>
      <x:c r="G9" s="218" t="n">
        <x:f>E9*(1+F9)</x:f>
        <x:v>360</x:v>
      </x:c>
      <x:c r="H9" s="219" t="str">
        <x:v>VESPER_FRAMES_CENOTVORBA_ROZPAD_SKLADEB.xlsx</x:v>
      </x:c>
      <x:c r="I9" s="220"/>
      <x:c r="J9" s="219" t="str">
        <x:v>NE</x:v>
      </x:c>
      <x:c r="K9" s="92" t="str">
        <x:f>IF(AND(E9&gt;0,H9&lt;&gt;"",I9&lt;&gt;"",J9="ANO"),"POTVRZENO","ODHAD")</x:f>
        <x:v>ODHAD</x:v>
      </x:c>
      <x:c r="L9" s="221" t="n">
        <x:f>COUNTIF('4. Skladby'!$D$6:$D$73,A9)</x:f>
        <x:v>1</x:v>
      </x:c>
    </x:row>
    <x:row r="10">
      <x:c r="A10" s="47" t="str">
        <x:v>MAT-005</x:v>
      </x:c>
      <x:c r="B10" s="47" t="str">
        <x:v>Fermacell H2O 15 mm</x:v>
      </x:c>
      <x:c r="C10" s="215" t="n">
        <x:v>15</x:v>
      </x:c>
      <x:c r="D10" s="47" t="str">
        <x:v>m²</x:v>
      </x:c>
      <x:c r="E10" s="216" t="n">
        <x:v>320</x:v>
      </x:c>
      <x:c r="F10" s="217" t="n">
        <x:v>0</x:v>
      </x:c>
      <x:c r="G10" s="218" t="n">
        <x:f>E10*(1+F10)</x:f>
        <x:v>320</x:v>
      </x:c>
      <x:c r="H10" s="219" t="str">
        <x:v>VESPER_FRAMES_CENOTVORBA_ROZPAD_SKLADEB.xlsx</x:v>
      </x:c>
      <x:c r="I10" s="220"/>
      <x:c r="J10" s="219" t="str">
        <x:v>NE</x:v>
      </x:c>
      <x:c r="K10" s="92" t="str">
        <x:f>IF(AND(E10&gt;0,H10&lt;&gt;"",I10&lt;&gt;"",J10="ANO"),"POTVRZENO","ODHAD")</x:f>
        <x:v>ODHAD</x:v>
      </x:c>
      <x:c r="L10" s="221" t="n">
        <x:f>COUNTIF('4. Skladby'!$D$6:$D$73,A10)</x:f>
        <x:v>1</x:v>
      </x:c>
    </x:row>
    <x:row r="11">
      <x:c r="A11" s="47" t="str">
        <x:v>MAT-006</x:v>
      </x:c>
      <x:c r="B11" s="47" t="str">
        <x:v>Fasádní deska TF 160 mm</x:v>
      </x:c>
      <x:c r="C11" s="215" t="n">
        <x:v>160</x:v>
      </x:c>
      <x:c r="D11" s="47" t="str">
        <x:v>m²</x:v>
      </x:c>
      <x:c r="E11" s="216" t="n">
        <x:v>480</x:v>
      </x:c>
      <x:c r="F11" s="217" t="n">
        <x:v>0</x:v>
      </x:c>
      <x:c r="G11" s="218" t="n">
        <x:f>E11*(1+F11)</x:f>
        <x:v>480</x:v>
      </x:c>
      <x:c r="H11" s="219" t="str">
        <x:v>VESPER_FRAMES_CENOTVORBA_ROZPAD_SKLADEB.xlsx</x:v>
      </x:c>
      <x:c r="I11" s="220"/>
      <x:c r="J11" s="219" t="str">
        <x:v>NE</x:v>
      </x:c>
      <x:c r="K11" s="92" t="str">
        <x:f>IF(AND(E11&gt;0,H11&lt;&gt;"",I11&lt;&gt;"",J11="ANO"),"POTVRZENO","ODHAD")</x:f>
        <x:v>ODHAD</x:v>
      </x:c>
      <x:c r="L11" s="221" t="n">
        <x:f>COUNTIF('4. Skladby'!$D$6:$D$73,A11)</x:f>
        <x:v>1</x:v>
      </x:c>
    </x:row>
    <x:row r="12">
      <x:c r="A12" s="47" t="str">
        <x:v>MAT-007</x:v>
      </x:c>
      <x:c r="B12" s="47" t="str">
        <x:v>Ceresit CT System</x:v>
      </x:c>
      <x:c r="C12" s="215" t="n">
        <x:v>8.3</x:v>
      </x:c>
      <x:c r="D12" s="47" t="str">
        <x:v>m²</x:v>
      </x:c>
      <x:c r="E12" s="216" t="n">
        <x:v>390</x:v>
      </x:c>
      <x:c r="F12" s="217" t="n">
        <x:v>0</x:v>
      </x:c>
      <x:c r="G12" s="218" t="n">
        <x:f>E12*(1+F12)</x:f>
        <x:v>390</x:v>
      </x:c>
      <x:c r="H12" s="219" t="str">
        <x:v>VESPER_FRAMES_CENOTVORBA_ROZPAD_SKLADEB.xlsx</x:v>
      </x:c>
      <x:c r="I12" s="220"/>
      <x:c r="J12" s="219" t="str">
        <x:v>NE</x:v>
      </x:c>
      <x:c r="K12" s="92" t="str">
        <x:f>IF(AND(E12&gt;0,H12&lt;&gt;"",I12&lt;&gt;"",J12="ANO"),"POTVRZENO","ODHAD")</x:f>
        <x:v>ODHAD</x:v>
      </x:c>
      <x:c r="L12" s="221" t="n">
        <x:f>COUNTIF('4. Skladby'!$D$6:$D$73,A12)</x:f>
        <x:v>1</x:v>
      </x:c>
    </x:row>
    <x:row r="13">
      <x:c r="A13" s="47" t="str">
        <x:v>MAT-008</x:v>
      </x:c>
      <x:c r="B13" s="47" t="str">
        <x:v>KVH hranol 200 mm</x:v>
      </x:c>
      <x:c r="C13" s="215" t="n">
        <x:v>200</x:v>
      </x:c>
      <x:c r="D13" s="47" t="str">
        <x:v>m³</x:v>
      </x:c>
      <x:c r="E13" s="216" t="n">
        <x:v>12500</x:v>
      </x:c>
      <x:c r="F13" s="217" t="n">
        <x:v>0</x:v>
      </x:c>
      <x:c r="G13" s="218" t="n">
        <x:f>E13*(1+F13)</x:f>
        <x:v>12500</x:v>
      </x:c>
      <x:c r="H13" s="219" t="str">
        <x:v>VESPER_FRAMES_CENOTVORBA_ROZPAD_SKLADEB.xlsx</x:v>
      </x:c>
      <x:c r="I13" s="220"/>
      <x:c r="J13" s="219" t="str">
        <x:v>NE</x:v>
      </x:c>
      <x:c r="K13" s="92" t="str">
        <x:f>IF(AND(E13&gt;0,H13&lt;&gt;"",I13&lt;&gt;"",J13="ANO"),"POTVRZENO","ODHAD")</x:f>
        <x:v>ODHAD</x:v>
      </x:c>
      <x:c r="L13" s="221" t="n">
        <x:f>COUNTIF('4. Skladby'!$D$6:$D$73,A13)</x:f>
        <x:v>1</x:v>
      </x:c>
    </x:row>
    <x:row r="14">
      <x:c r="A14" s="47" t="str">
        <x:v>MAT-009</x:v>
      </x:c>
      <x:c r="B14" s="47" t="str">
        <x:v>Isover Uni 200 mm</x:v>
      </x:c>
      <x:c r="C14" s="215" t="n">
        <x:v>200</x:v>
      </x:c>
      <x:c r="D14" s="47" t="str">
        <x:v>m²</x:v>
      </x:c>
      <x:c r="E14" s="216" t="n">
        <x:v>450</x:v>
      </x:c>
      <x:c r="F14" s="217" t="n">
        <x:v>0</x:v>
      </x:c>
      <x:c r="G14" s="218" t="n">
        <x:f>E14*(1+F14)</x:f>
        <x:v>450</x:v>
      </x:c>
      <x:c r="H14" s="219" t="str">
        <x:v>VESPER_FRAMES_CENOTVORBA_ROZPAD_SKLADEB.xlsx</x:v>
      </x:c>
      <x:c r="I14" s="220"/>
      <x:c r="J14" s="219" t="str">
        <x:v>NE</x:v>
      </x:c>
      <x:c r="K14" s="92" t="str">
        <x:f>IF(AND(E14&gt;0,H14&lt;&gt;"",I14&lt;&gt;"",J14="ANO"),"POTVRZENO","ODHAD")</x:f>
        <x:v>ODHAD</x:v>
      </x:c>
      <x:c r="L14" s="221" t="n">
        <x:f>COUNTIF('4. Skladby'!$D$6:$D$73,A14)</x:f>
        <x:v>1</x:v>
      </x:c>
    </x:row>
    <x:row r="15">
      <x:c r="A15" s="47" t="str">
        <x:v>MAT-010</x:v>
      </x:c>
      <x:c r="B15" s="47" t="str">
        <x:v>STEICO protect 60 mm</x:v>
      </x:c>
      <x:c r="C15" s="215" t="n">
        <x:v>60</x:v>
      </x:c>
      <x:c r="D15" s="47" t="str">
        <x:v>m²</x:v>
      </x:c>
      <x:c r="E15" s="216" t="n">
        <x:v>520</x:v>
      </x:c>
      <x:c r="F15" s="217" t="n">
        <x:v>0</x:v>
      </x:c>
      <x:c r="G15" s="218" t="n">
        <x:f>E15*(1+F15)</x:f>
        <x:v>520</x:v>
      </x:c>
      <x:c r="H15" s="219" t="str">
        <x:v>VESPER_FRAMES_CENOTVORBA_ROZPAD_SKLADEB.xlsx</x:v>
      </x:c>
      <x:c r="I15" s="220"/>
      <x:c r="J15" s="219" t="str">
        <x:v>NE</x:v>
      </x:c>
      <x:c r="K15" s="92" t="str">
        <x:f>IF(AND(E15&gt;0,H15&lt;&gt;"",I15&lt;&gt;"",J15="ANO"),"POTVRZENO","ODHAD")</x:f>
        <x:v>ODHAD</x:v>
      </x:c>
      <x:c r="L15" s="221" t="n">
        <x:f>COUNTIF('4. Skladby'!$D$6:$D$73,A15)</x:f>
        <x:v>1</x:v>
      </x:c>
    </x:row>
    <x:row r="16">
      <x:c r="A16" s="47" t="str">
        <x:v>MAT-011</x:v>
      </x:c>
      <x:c r="B16" s="47" t="str">
        <x:v>Latě 40×60 mm (impregnované)</x:v>
      </x:c>
      <x:c r="C16" s="215" t="n">
        <x:v>40</x:v>
      </x:c>
      <x:c r="D16" s="47" t="str">
        <x:v>m³</x:v>
      </x:c>
      <x:c r="E16" s="216" t="n">
        <x:v>11000</x:v>
      </x:c>
      <x:c r="F16" s="217" t="n">
        <x:v>0</x:v>
      </x:c>
      <x:c r="G16" s="218" t="n">
        <x:f>E16*(1+F16)</x:f>
        <x:v>11000</x:v>
      </x:c>
      <x:c r="H16" s="219" t="str">
        <x:v>VESPER_FRAMES_CENOTVORBA_ROZPAD_SKLADEB.xlsx</x:v>
      </x:c>
      <x:c r="I16" s="220"/>
      <x:c r="J16" s="219" t="str">
        <x:v>NE</x:v>
      </x:c>
      <x:c r="K16" s="92" t="str">
        <x:f>IF(AND(E16&gt;0,H16&lt;&gt;"",I16&lt;&gt;"",J16="ANO"),"POTVRZENO","ODHAD")</x:f>
        <x:v>ODHAD</x:v>
      </x:c>
      <x:c r="L16" s="221" t="n">
        <x:f>COUNTIF('4. Skladby'!$D$6:$D$73,A16)</x:f>
        <x:v>1</x:v>
      </x:c>
    </x:row>
    <x:row r="17">
      <x:c r="A17" s="47" t="str">
        <x:v>MAT-012</x:v>
      </x:c>
      <x:c r="B17" s="47" t="str">
        <x:v>Sibiřský modřín Rhombus 24×68 mm</x:v>
      </x:c>
      <x:c r="C17" s="215" t="n">
        <x:v>24</x:v>
      </x:c>
      <x:c r="D17" s="47" t="str">
        <x:v>m²</x:v>
      </x:c>
      <x:c r="E17" s="216" t="n">
        <x:v>1150</x:v>
      </x:c>
      <x:c r="F17" s="217" t="n">
        <x:v>0</x:v>
      </x:c>
      <x:c r="G17" s="218" t="n">
        <x:f>E17*(1+F17)</x:f>
        <x:v>1150</x:v>
      </x:c>
      <x:c r="H17" s="219" t="str">
        <x:v>VESPER_FRAMES_CENOTVORBA_ROZPAD_SKLADEB.xlsx</x:v>
      </x:c>
      <x:c r="I17" s="220"/>
      <x:c r="J17" s="219" t="str">
        <x:v>NE</x:v>
      </x:c>
      <x:c r="K17" s="92" t="str">
        <x:f>IF(AND(E17&gt;0,H17&lt;&gt;"",I17&lt;&gt;"",J17="ANO"),"POTVRZENO","ODHAD")</x:f>
        <x:v>ODHAD</x:v>
      </x:c>
      <x:c r="L17" s="221" t="n">
        <x:f>COUNTIF('4. Skladby'!$D$6:$D$73,A17)</x:f>
        <x:v>1</x:v>
      </x:c>
    </x:row>
    <x:row r="18">
      <x:c r="A18" s="47" t="str">
        <x:v>MAT-013</x:v>
      </x:c>
      <x:c r="B18" s="47" t="str">
        <x:v>Knauf DF 15 mm</x:v>
      </x:c>
      <x:c r="C18" s="215" t="n">
        <x:v>15</x:v>
      </x:c>
      <x:c r="D18" s="47" t="str">
        <x:v>m²</x:v>
      </x:c>
      <x:c r="E18" s="216" t="n">
        <x:v>190</x:v>
      </x:c>
      <x:c r="F18" s="217" t="n">
        <x:v>0</x:v>
      </x:c>
      <x:c r="G18" s="218" t="n">
        <x:f>E18*(1+F18)</x:f>
        <x:v>190</x:v>
      </x:c>
      <x:c r="H18" s="219" t="str">
        <x:v>VESPER_FRAMES_CENOTVORBA_ROZPAD_SKLADEB.xlsx</x:v>
      </x:c>
      <x:c r="I18" s="220"/>
      <x:c r="J18" s="219" t="str">
        <x:v>NE</x:v>
      </x:c>
      <x:c r="K18" s="92" t="str">
        <x:f>IF(AND(E18&gt;0,H18&lt;&gt;"",I18&lt;&gt;"",J18="ANO"),"POTVRZENO","ODHAD")</x:f>
        <x:v>ODHAD</x:v>
      </x:c>
      <x:c r="L18" s="221" t="n">
        <x:f>COUNTIF('4. Skladby'!$D$6:$D$73,A18)</x:f>
        <x:v>1</x:v>
      </x:c>
    </x:row>
    <x:row r="19">
      <x:c r="A19" s="47" t="str">
        <x:v>MAT-014</x:v>
      </x:c>
      <x:c r="B19" s="47" t="str">
        <x:v>DP1 ocelový profil 160 mm</x:v>
      </x:c>
      <x:c r="C19" s="215" t="n">
        <x:v>160</x:v>
      </x:c>
      <x:c r="D19" s="47" t="str">
        <x:v>m³</x:v>
      </x:c>
      <x:c r="E19" s="216" t="n">
        <x:v>18500</x:v>
      </x:c>
      <x:c r="F19" s="217" t="n">
        <x:v>0</x:v>
      </x:c>
      <x:c r="G19" s="218" t="n">
        <x:f>E19*(1+F19)</x:f>
        <x:v>18500</x:v>
      </x:c>
      <x:c r="H19" s="219" t="str">
        <x:v>VESPER_FRAMES_CENOTVORBA_ROZPAD_SKLADEB.xlsx</x:v>
      </x:c>
      <x:c r="I19" s="220"/>
      <x:c r="J19" s="219" t="str">
        <x:v>NE</x:v>
      </x:c>
      <x:c r="K19" s="92" t="str">
        <x:f>IF(AND(E19&gt;0,H19&lt;&gt;"",I19&lt;&gt;"",J19="ANO"),"POTVRZENO","ODHAD")</x:f>
        <x:v>ODHAD</x:v>
      </x:c>
      <x:c r="L19" s="221" t="n">
        <x:f>COUNTIF('4. Skladby'!$D$6:$D$73,A19)</x:f>
        <x:v>1</x:v>
      </x:c>
    </x:row>
    <x:row r="20">
      <x:c r="A20" s="47" t="str">
        <x:v>MAT-015</x:v>
      </x:c>
      <x:c r="B20" s="47" t="str">
        <x:v>Knauf FKD N Thermal 160 mm</x:v>
      </x:c>
      <x:c r="C20" s="215" t="n">
        <x:v>160</x:v>
      </x:c>
      <x:c r="D20" s="47" t="str">
        <x:v>m²</x:v>
      </x:c>
      <x:c r="E20" s="216" t="n">
        <x:v>540</x:v>
      </x:c>
      <x:c r="F20" s="217" t="n">
        <x:v>0</x:v>
      </x:c>
      <x:c r="G20" s="218" t="n">
        <x:f>E20*(1+F20)</x:f>
        <x:v>540</x:v>
      </x:c>
      <x:c r="H20" s="219" t="str">
        <x:v>VESPER_FRAMES_CENOTVORBA_ROZPAD_SKLADEB.xlsx</x:v>
      </x:c>
      <x:c r="I20" s="220"/>
      <x:c r="J20" s="219" t="str">
        <x:v>NE</x:v>
      </x:c>
      <x:c r="K20" s="92" t="str">
        <x:f>IF(AND(E20&gt;0,H20&lt;&gt;"",I20&lt;&gt;"",J20="ANO"),"POTVRZENO","ODHAD")</x:f>
        <x:v>ODHAD</x:v>
      </x:c>
      <x:c r="L20" s="221" t="n">
        <x:f>COUNTIF('4. Skladby'!$D$6:$D$73,A20)</x:f>
        <x:v>1</x:v>
      </x:c>
    </x:row>
    <x:row r="21">
      <x:c r="A21" s="47" t="str">
        <x:v>MAT-016</x:v>
      </x:c>
      <x:c r="B21" s="47" t="str">
        <x:v>Promat Promatect H 15 mm</x:v>
      </x:c>
      <x:c r="C21" s="215" t="n">
        <x:v>15</x:v>
      </x:c>
      <x:c r="D21" s="47" t="str">
        <x:v>m²</x:v>
      </x:c>
      <x:c r="E21" s="216" t="n">
        <x:v>890</x:v>
      </x:c>
      <x:c r="F21" s="217" t="n">
        <x:v>0</x:v>
      </x:c>
      <x:c r="G21" s="218" t="n">
        <x:f>E21*(1+F21)</x:f>
        <x:v>890</x:v>
      </x:c>
      <x:c r="H21" s="219" t="str">
        <x:v>VESPER_FRAMES_CENOTVORBA_ROZPAD_SKLADEB.xlsx</x:v>
      </x:c>
      <x:c r="I21" s="220"/>
      <x:c r="J21" s="219" t="str">
        <x:v>NE</x:v>
      </x:c>
      <x:c r="K21" s="92" t="str">
        <x:f>IF(AND(E21&gt;0,H21&lt;&gt;"",I21&lt;&gt;"",J21="ANO"),"POTVRZENO","ODHAD")</x:f>
        <x:v>ODHAD</x:v>
      </x:c>
      <x:c r="L21" s="221" t="n">
        <x:f>COUNTIF('4. Skladby'!$D$6:$D$73,A21)</x:f>
        <x:v>1</x:v>
      </x:c>
    </x:row>
    <x:row r="22">
      <x:c r="A22" s="47" t="str">
        <x:v>MAT-017</x:v>
      </x:c>
      <x:c r="B22" s="47" t="str">
        <x:v>Isover TF Profi 160 mm</x:v>
      </x:c>
      <x:c r="C22" s="215" t="n">
        <x:v>160</x:v>
      </x:c>
      <x:c r="D22" s="47" t="str">
        <x:v>m²</x:v>
      </x:c>
      <x:c r="E22" s="216" t="n">
        <x:v>520</x:v>
      </x:c>
      <x:c r="F22" s="217" t="n">
        <x:v>0</x:v>
      </x:c>
      <x:c r="G22" s="218" t="n">
        <x:f>E22*(1+F22)</x:f>
        <x:v>520</x:v>
      </x:c>
      <x:c r="H22" s="219" t="str">
        <x:v>VESPER_FRAMES_CENOTVORBA_ROZPAD_SKLADEB.xlsx</x:v>
      </x:c>
      <x:c r="I22" s="220"/>
      <x:c r="J22" s="219" t="str">
        <x:v>NE</x:v>
      </x:c>
      <x:c r="K22" s="92" t="str">
        <x:f>IF(AND(E22&gt;0,H22&lt;&gt;"",I22&lt;&gt;"",J22="ANO"),"POTVRZENO","ODHAD")</x:f>
        <x:v>ODHAD</x:v>
      </x:c>
      <x:c r="L22" s="221" t="n">
        <x:f>COUNTIF('4. Skladby'!$D$6:$D$73,A22)</x:f>
        <x:v>1</x:v>
      </x:c>
    </x:row>
    <x:row r="23">
      <x:c r="A23" s="47" t="str">
        <x:v>MAT-018</x:v>
      </x:c>
      <x:c r="B23" s="47" t="str">
        <x:v>Weber therm A2 silikát</x:v>
      </x:c>
      <x:c r="C23" s="215" t="n">
        <x:v>8.3</x:v>
      </x:c>
      <x:c r="D23" s="47" t="str">
        <x:v>m²</x:v>
      </x:c>
      <x:c r="E23" s="216" t="n">
        <x:v>460</x:v>
      </x:c>
      <x:c r="F23" s="217" t="n">
        <x:v>0</x:v>
      </x:c>
      <x:c r="G23" s="218" t="n">
        <x:f>E23*(1+F23)</x:f>
        <x:v>460</x:v>
      </x:c>
      <x:c r="H23" s="219" t="str">
        <x:v>VESPER_FRAMES_CENOTVORBA_ROZPAD_SKLADEB.xlsx</x:v>
      </x:c>
      <x:c r="I23" s="220"/>
      <x:c r="J23" s="219" t="str">
        <x:v>NE</x:v>
      </x:c>
      <x:c r="K23" s="92" t="str">
        <x:f>IF(AND(E23&gt;0,H23&lt;&gt;"",I23&lt;&gt;"",J23="ANO"),"POTVRZENO","ODHAD")</x:f>
        <x:v>ODHAD</x:v>
      </x:c>
      <x:c r="L23" s="221" t="n">
        <x:f>COUNTIF('4. Skladby'!$D$6:$D$73,A23)</x:f>
        <x:v>1</x:v>
      </x:c>
    </x:row>
    <x:row r="24">
      <x:c r="A24" s="47" t="str">
        <x:v>MAT-019</x:v>
      </x:c>
      <x:c r="B24" s="47" t="str">
        <x:v>KVH hranol 120 mm</x:v>
      </x:c>
      <x:c r="C24" s="215" t="n">
        <x:v>120</x:v>
      </x:c>
      <x:c r="D24" s="47" t="str">
        <x:v>m³</x:v>
      </x:c>
      <x:c r="E24" s="216" t="n">
        <x:v>12500</x:v>
      </x:c>
      <x:c r="F24" s="217" t="n">
        <x:v>0</x:v>
      </x:c>
      <x:c r="G24" s="218" t="n">
        <x:f>E24*(1+F24)</x:f>
        <x:v>12500</x:v>
      </x:c>
      <x:c r="H24" s="219" t="str">
        <x:v>VESPER_FRAMES_CENOTVORBA_ROZPAD_SKLADEB.xlsx</x:v>
      </x:c>
      <x:c r="I24" s="220"/>
      <x:c r="J24" s="219" t="str">
        <x:v>NE</x:v>
      </x:c>
      <x:c r="K24" s="92" t="str">
        <x:f>IF(AND(E24&gt;0,H24&lt;&gt;"",I24&lt;&gt;"",J24="ANO"),"POTVRZENO","ODHAD")</x:f>
        <x:v>ODHAD</x:v>
      </x:c>
      <x:c r="L24" s="221" t="n">
        <x:f>COUNTIF('4. Skladby'!$D$6:$D$73,A24)</x:f>
        <x:v>2</x:v>
      </x:c>
    </x:row>
    <x:row r="25">
      <x:c r="A25" s="47" t="str">
        <x:v>MAT-020</x:v>
      </x:c>
      <x:c r="B25" s="47" t="str">
        <x:v>Isover Piano 120 mm</x:v>
      </x:c>
      <x:c r="C25" s="215" t="n">
        <x:v>120</x:v>
      </x:c>
      <x:c r="D25" s="47" t="str">
        <x:v>m²</x:v>
      </x:c>
      <x:c r="E25" s="216" t="n">
        <x:v>240</x:v>
      </x:c>
      <x:c r="F25" s="217" t="n">
        <x:v>0</x:v>
      </x:c>
      <x:c r="G25" s="218" t="n">
        <x:f>E25*(1+F25)</x:f>
        <x:v>240</x:v>
      </x:c>
      <x:c r="H25" s="219" t="str">
        <x:v>VESPER_FRAMES_CENOTVORBA_ROZPAD_SKLADEB.xlsx</x:v>
      </x:c>
      <x:c r="I25" s="220"/>
      <x:c r="J25" s="219" t="str">
        <x:v>NE</x:v>
      </x:c>
      <x:c r="K25" s="92" t="str">
        <x:f>IF(AND(E25&gt;0,H25&lt;&gt;"",I25&lt;&gt;"",J25="ANO"),"POTVRZENO","ODHAD")</x:f>
        <x:v>ODHAD</x:v>
      </x:c>
      <x:c r="L25" s="221" t="n">
        <x:f>COUNTIF('4. Skladby'!$D$6:$D$73,A25)</x:f>
        <x:v>1</x:v>
      </x:c>
    </x:row>
    <x:row r="26">
      <x:c r="A26" s="47" t="str">
        <x:v>MAT-021</x:v>
      </x:c>
      <x:c r="B26" s="47" t="str">
        <x:v>KVH hranol 100 mm</x:v>
      </x:c>
      <x:c r="C26" s="215" t="n">
        <x:v>100</x:v>
      </x:c>
      <x:c r="D26" s="47" t="str">
        <x:v>m³</x:v>
      </x:c>
      <x:c r="E26" s="216" t="n">
        <x:v>12500</x:v>
      </x:c>
      <x:c r="F26" s="217" t="n">
        <x:v>0</x:v>
      </x:c>
      <x:c r="G26" s="218" t="n">
        <x:f>E26*(1+F26)</x:f>
        <x:v>12500</x:v>
      </x:c>
      <x:c r="H26" s="219" t="str">
        <x:v>VESPER_FRAMES_CENOTVORBA_ROZPAD_SKLADEB.xlsx</x:v>
      </x:c>
      <x:c r="I26" s="220"/>
      <x:c r="J26" s="219" t="str">
        <x:v>NE</x:v>
      </x:c>
      <x:c r="K26" s="92" t="str">
        <x:f>IF(AND(E26&gt;0,H26&lt;&gt;"",I26&lt;&gt;"",J26="ANO"),"POTVRZENO","ODHAD")</x:f>
        <x:v>ODHAD</x:v>
      </x:c>
      <x:c r="L26" s="221" t="n">
        <x:f>COUNTIF('4. Skladby'!$D$6:$D$73,A26)</x:f>
        <x:v>2</x:v>
      </x:c>
    </x:row>
    <x:row r="27">
      <x:c r="A27" s="47" t="str">
        <x:v>MAT-022</x:v>
      </x:c>
      <x:c r="B27" s="47" t="str">
        <x:v>Isover Akustik 100 mm</x:v>
      </x:c>
      <x:c r="C27" s="215" t="n">
        <x:v>100</x:v>
      </x:c>
      <x:c r="D27" s="47" t="str">
        <x:v>m²</x:v>
      </x:c>
      <x:c r="E27" s="216" t="n">
        <x:v>210</x:v>
      </x:c>
      <x:c r="F27" s="217" t="n">
        <x:v>0</x:v>
      </x:c>
      <x:c r="G27" s="218" t="n">
        <x:f>E27*(1+F27)</x:f>
        <x:v>210</x:v>
      </x:c>
      <x:c r="H27" s="219" t="str">
        <x:v>VESPER_FRAMES_CENOTVORBA_ROZPAD_SKLADEB.xlsx</x:v>
      </x:c>
      <x:c r="I27" s="220"/>
      <x:c r="J27" s="219" t="str">
        <x:v>NE</x:v>
      </x:c>
      <x:c r="K27" s="92" t="str">
        <x:f>IF(AND(E27&gt;0,H27&lt;&gt;"",I27&lt;&gt;"",J27="ANO"),"POTVRZENO","ODHAD")</x:f>
        <x:v>ODHAD</x:v>
      </x:c>
      <x:c r="L27" s="221" t="n">
        <x:f>COUNTIF('4. Skladby'!$D$6:$D$73,A27)</x:f>
        <x:v>2</x:v>
      </x:c>
    </x:row>
    <x:row r="28">
      <x:c r="A28" s="47" t="str">
        <x:v>MAT-023</x:v>
      </x:c>
      <x:c r="B28" s="47" t="str">
        <x:v>Akustická mezera 20 mm</x:v>
      </x:c>
      <x:c r="C28" s="215" t="n">
        <x:v>20</x:v>
      </x:c>
      <x:c r="D28" s="47" t="str">
        <x:v>m²</x:v>
      </x:c>
      <x:c r="E28" s="216" t="n">
        <x:v>35</x:v>
      </x:c>
      <x:c r="F28" s="217" t="n">
        <x:v>0</x:v>
      </x:c>
      <x:c r="G28" s="218" t="n">
        <x:f>E28*(1+F28)</x:f>
        <x:v>35</x:v>
      </x:c>
      <x:c r="H28" s="219" t="str">
        <x:v>VESPER_FRAMES_CENOTVORBA_ROZPAD_SKLADEB.xlsx</x:v>
      </x:c>
      <x:c r="I28" s="220"/>
      <x:c r="J28" s="219" t="str">
        <x:v>NE</x:v>
      </x:c>
      <x:c r="K28" s="92" t="str">
        <x:f>IF(AND(E28&gt;0,H28&lt;&gt;"",I28&lt;&gt;"",J28="ANO"),"POTVRZENO","ODHAD")</x:f>
        <x:v>ODHAD</x:v>
      </x:c>
      <x:c r="L28" s="221" t="n">
        <x:f>COUNTIF('4. Skladby'!$D$6:$D$73,A28)</x:f>
        <x:v>1</x:v>
      </x:c>
    </x:row>
    <x:row r="29">
      <x:c r="A29" s="47" t="str">
        <x:v>MAT-024</x:v>
      </x:c>
      <x:c r="B29" s="47" t="str">
        <x:v>Fermacell 12.5 mm</x:v>
      </x:c>
      <x:c r="C29" s="215" t="n">
        <x:v>12.5</x:v>
      </x:c>
      <x:c r="D29" s="47" t="str">
        <x:v>m²</x:v>
      </x:c>
      <x:c r="E29" s="216" t="n">
        <x:v>240</x:v>
      </x:c>
      <x:c r="F29" s="217" t="n">
        <x:v>0</x:v>
      </x:c>
      <x:c r="G29" s="218" t="n">
        <x:f>E29*(1+F29)</x:f>
        <x:v>240</x:v>
      </x:c>
      <x:c r="H29" s="219" t="str">
        <x:v>VESPER_FRAMES_CENOTVORBA_ROZPAD_SKLADEB.xlsx</x:v>
      </x:c>
      <x:c r="I29" s="220"/>
      <x:c r="J29" s="219" t="str">
        <x:v>NE</x:v>
      </x:c>
      <x:c r="K29" s="92" t="str">
        <x:f>IF(AND(E29&gt;0,H29&lt;&gt;"",I29&lt;&gt;"",J29="ANO"),"POTVRZENO","ODHAD")</x:f>
        <x:v>ODHAD</x:v>
      </x:c>
      <x:c r="L29" s="221" t="n">
        <x:f>COUNTIF('4. Skladby'!$D$6:$D$73,A29)</x:f>
        <x:v>2</x:v>
      </x:c>
    </x:row>
    <x:row r="30">
      <x:c r="A30" s="47" t="str">
        <x:v>MAT-025</x:v>
      </x:c>
      <x:c r="B30" s="47" t="str">
        <x:v>KVH hranol 75 mm</x:v>
      </x:c>
      <x:c r="C30" s="215" t="n">
        <x:v>75</x:v>
      </x:c>
      <x:c r="D30" s="47" t="str">
        <x:v>m³</x:v>
      </x:c>
      <x:c r="E30" s="216" t="n">
        <x:v>12500</x:v>
      </x:c>
      <x:c r="F30" s="217" t="n">
        <x:v>0</x:v>
      </x:c>
      <x:c r="G30" s="218" t="n">
        <x:f>E30*(1+F30)</x:f>
        <x:v>12500</x:v>
      </x:c>
      <x:c r="H30" s="219" t="str">
        <x:v>VESPER_FRAMES_CENOTVORBA_ROZPAD_SKLADEB.xlsx</x:v>
      </x:c>
      <x:c r="I30" s="220"/>
      <x:c r="J30" s="219" t="str">
        <x:v>NE</x:v>
      </x:c>
      <x:c r="K30" s="92" t="str">
        <x:f>IF(AND(E30&gt;0,H30&lt;&gt;"",I30&lt;&gt;"",J30="ANO"),"POTVRZENO","ODHAD")</x:f>
        <x:v>ODHAD</x:v>
      </x:c>
      <x:c r="L30" s="221" t="n">
        <x:f>COUNTIF('4. Skladby'!$D$6:$D$73,A30)</x:f>
        <x:v>1</x:v>
      </x:c>
    </x:row>
    <x:row r="31">
      <x:c r="A31" s="47" t="str">
        <x:v>MAT-026</x:v>
      </x:c>
      <x:c r="B31" s="47" t="str">
        <x:v>Isover Akustik 75 mm</x:v>
      </x:c>
      <x:c r="C31" s="215" t="n">
        <x:v>75</x:v>
      </x:c>
      <x:c r="D31" s="47" t="str">
        <x:v>m²</x:v>
      </x:c>
      <x:c r="E31" s="216" t="n">
        <x:v>160</x:v>
      </x:c>
      <x:c r="F31" s="217" t="n">
        <x:v>0</x:v>
      </x:c>
      <x:c r="G31" s="218" t="n">
        <x:f>E31*(1+F31)</x:f>
        <x:v>160</x:v>
      </x:c>
      <x:c r="H31" s="219" t="str">
        <x:v>VESPER_FRAMES_CENOTVORBA_ROZPAD_SKLADEB.xlsx</x:v>
      </x:c>
      <x:c r="I31" s="220"/>
      <x:c r="J31" s="219" t="str">
        <x:v>NE</x:v>
      </x:c>
      <x:c r="K31" s="92" t="str">
        <x:f>IF(AND(E31&gt;0,H31&lt;&gt;"",I31&lt;&gt;"",J31="ANO"),"POTVRZENO","ODHAD")</x:f>
        <x:v>ODHAD</x:v>
      </x:c>
      <x:c r="L31" s="221" t="n">
        <x:f>COUNTIF('4. Skladby'!$D$6:$D$73,A31)</x:f>
        <x:v>1</x:v>
      </x:c>
    </x:row>
    <x:row r="32">
      <x:c r="A32" s="47" t="str">
        <x:v>MAT-027</x:v>
      </x:c>
      <x:c r="B32" s="47" t="str">
        <x:v>Dřevěné laťování 40 mm + pružné závěsy</x:v>
      </x:c>
      <x:c r="C32" s="215" t="n">
        <x:v>40</x:v>
      </x:c>
      <x:c r="D32" s="47" t="str">
        <x:v>m²</x:v>
      </x:c>
      <x:c r="E32" s="216" t="n">
        <x:v>180</x:v>
      </x:c>
      <x:c r="F32" s="217" t="n">
        <x:v>0</x:v>
      </x:c>
      <x:c r="G32" s="218" t="n">
        <x:f>E32*(1+F32)</x:f>
        <x:v>180</x:v>
      </x:c>
      <x:c r="H32" s="219" t="str">
        <x:v>VESPER_FRAMES_CENOTVORBA_ROZPAD_SKLADEB.xlsx</x:v>
      </x:c>
      <x:c r="I32" s="220"/>
      <x:c r="J32" s="219" t="str">
        <x:v>NE</x:v>
      </x:c>
      <x:c r="K32" s="92" t="str">
        <x:f>IF(AND(E32&gt;0,H32&lt;&gt;"",I32&lt;&gt;"",J32="ANO"),"POTVRZENO","ODHAD")</x:f>
        <x:v>ODHAD</x:v>
      </x:c>
      <x:c r="L32" s="221" t="n">
        <x:f>COUNTIF('4. Skladby'!$D$6:$D$73,A32)</x:f>
        <x:v>1</x:v>
      </x:c>
    </x:row>
    <x:row r="33">
      <x:c r="A33" s="47" t="str">
        <x:v>MAT-028</x:v>
      </x:c>
      <x:c r="B33" s="47" t="str">
        <x:v>KVH / I-nosníky 240 mm</x:v>
      </x:c>
      <x:c r="C33" s="215" t="n">
        <x:v>240</x:v>
      </x:c>
      <x:c r="D33" s="47" t="str">
        <x:v>m³</x:v>
      </x:c>
      <x:c r="E33" s="216" t="n">
        <x:v>14500</x:v>
      </x:c>
      <x:c r="F33" s="217" t="n">
        <x:v>0</x:v>
      </x:c>
      <x:c r="G33" s="218" t="n">
        <x:f>E33*(1+F33)</x:f>
        <x:v>14500</x:v>
      </x:c>
      <x:c r="H33" s="219" t="str">
        <x:v>VESPER_FRAMES_CENOTVORBA_ROZPAD_SKLADEB.xlsx</x:v>
      </x:c>
      <x:c r="I33" s="220"/>
      <x:c r="J33" s="219" t="str">
        <x:v>NE</x:v>
      </x:c>
      <x:c r="K33" s="92" t="str">
        <x:f>IF(AND(E33&gt;0,H33&lt;&gt;"",I33&lt;&gt;"",J33="ANO"),"POTVRZENO","ODHAD")</x:f>
        <x:v>ODHAD</x:v>
      </x:c>
      <x:c r="L33" s="221" t="n">
        <x:f>COUNTIF('4. Skladby'!$D$6:$D$73,A33)</x:f>
        <x:v>1</x:v>
      </x:c>
    </x:row>
    <x:row r="34">
      <x:c r="A34" s="47" t="str">
        <x:v>MAT-029</x:v>
      </x:c>
      <x:c r="B34" s="47" t="str">
        <x:v>Isover Piano 140 mm</x:v>
      </x:c>
      <x:c r="C34" s="215" t="n">
        <x:v>140</x:v>
      </x:c>
      <x:c r="D34" s="47" t="str">
        <x:v>m²</x:v>
      </x:c>
      <x:c r="E34" s="216" t="n">
        <x:v>260</x:v>
      </x:c>
      <x:c r="F34" s="217" t="n">
        <x:v>0</x:v>
      </x:c>
      <x:c r="G34" s="218" t="n">
        <x:f>E34*(1+F34)</x:f>
        <x:v>260</x:v>
      </x:c>
      <x:c r="H34" s="219" t="str">
        <x:v>VESPER_FRAMES_CENOTVORBA_ROZPAD_SKLADEB.xlsx</x:v>
      </x:c>
      <x:c r="I34" s="220"/>
      <x:c r="J34" s="219" t="str">
        <x:v>NE</x:v>
      </x:c>
      <x:c r="K34" s="92" t="str">
        <x:f>IF(AND(E34&gt;0,H34&lt;&gt;"",I34&lt;&gt;"",J34="ANO"),"POTVRZENO","ODHAD")</x:f>
        <x:v>ODHAD</x:v>
      </x:c>
      <x:c r="L34" s="221" t="n">
        <x:f>COUNTIF('4. Skladby'!$D$6:$D$73,A34)</x:f>
        <x:v>1</x:v>
      </x:c>
    </x:row>
    <x:row r="35">
      <x:c r="A35" s="47" t="str">
        <x:v>MAT-030</x:v>
      </x:c>
      <x:c r="B35" s="47" t="str">
        <x:v>Rigips Isover T-N 60 mm</x:v>
      </x:c>
      <x:c r="C35" s="215" t="n">
        <x:v>60</x:v>
      </x:c>
      <x:c r="D35" s="47" t="str">
        <x:v>m²</x:v>
      </x:c>
      <x:c r="E35" s="216" t="n">
        <x:v>290</x:v>
      </x:c>
      <x:c r="F35" s="217" t="n">
        <x:v>0</x:v>
      </x:c>
      <x:c r="G35" s="218" t="n">
        <x:f>E35*(1+F35)</x:f>
        <x:v>290</x:v>
      </x:c>
      <x:c r="H35" s="219" t="str">
        <x:v>VESPER_FRAMES_CENOTVORBA_ROZPAD_SKLADEB.xlsx</x:v>
      </x:c>
      <x:c r="I35" s="220"/>
      <x:c r="J35" s="219" t="str">
        <x:v>NE</x:v>
      </x:c>
      <x:c r="K35" s="92" t="str">
        <x:f>IF(AND(E35&gt;0,H35&lt;&gt;"",I35&lt;&gt;"",J35="ANO"),"POTVRZENO","ODHAD")</x:f>
        <x:v>ODHAD</x:v>
      </x:c>
      <x:c r="L35" s="221" t="n">
        <x:f>COUNTIF('4. Skladby'!$D$6:$D$73,A35)</x:f>
        <x:v>1</x:v>
      </x:c>
    </x:row>
    <x:row r="36">
      <x:c r="A36" s="47" t="str">
        <x:v>MAT-031</x:v>
      </x:c>
      <x:c r="B36" s="47" t="str">
        <x:v>OSB 3 deska N+D 22 mm</x:v>
      </x:c>
      <x:c r="C36" s="215" t="n">
        <x:v>22</x:v>
      </x:c>
      <x:c r="D36" s="47" t="str">
        <x:v>m²</x:v>
      </x:c>
      <x:c r="E36" s="216" t="n">
        <x:v>340</x:v>
      </x:c>
      <x:c r="F36" s="217" t="n">
        <x:v>0</x:v>
      </x:c>
      <x:c r="G36" s="218" t="n">
        <x:f>E36*(1+F36)</x:f>
        <x:v>340</x:v>
      </x:c>
      <x:c r="H36" s="219" t="str">
        <x:v>VESPER_FRAMES_CENOTVORBA_ROZPAD_SKLADEB.xlsx</x:v>
      </x:c>
      <x:c r="I36" s="220"/>
      <x:c r="J36" s="219" t="str">
        <x:v>NE</x:v>
      </x:c>
      <x:c r="K36" s="92" t="str">
        <x:f>IF(AND(E36&gt;0,H36&lt;&gt;"",I36&lt;&gt;"",J36="ANO"),"POTVRZENO","ODHAD")</x:f>
        <x:v>ODHAD</x:v>
      </x:c>
      <x:c r="L36" s="221" t="n">
        <x:f>COUNTIF('4. Skladby'!$D$6:$D$73,A36)</x:f>
        <x:v>3</x:v>
      </x:c>
    </x:row>
    <x:row r="37">
      <x:c r="A37" s="47" t="str">
        <x:v>MAT-032</x:v>
      </x:c>
      <x:c r="B37" s="47" t="str">
        <x:v>2× Fermacell 12.5 mm</x:v>
      </x:c>
      <x:c r="C37" s="215" t="n">
        <x:v>25</x:v>
      </x:c>
      <x:c r="D37" s="47" t="str">
        <x:v>m²</x:v>
      </x:c>
      <x:c r="E37" s="216" t="n">
        <x:v>480</x:v>
      </x:c>
      <x:c r="F37" s="217" t="n">
        <x:v>0</x:v>
      </x:c>
      <x:c r="G37" s="218" t="n">
        <x:f>E37*(1+F37)</x:f>
        <x:v>480</x:v>
      </x:c>
      <x:c r="H37" s="219" t="str">
        <x:v>VESPER_FRAMES_CENOTVORBA_ROZPAD_SKLADEB.xlsx</x:v>
      </x:c>
      <x:c r="I37" s="220"/>
      <x:c r="J37" s="219" t="str">
        <x:v>NE</x:v>
      </x:c>
      <x:c r="K37" s="92" t="str">
        <x:f>IF(AND(E37&gt;0,H37&lt;&gt;"",I37&lt;&gt;"",J37="ANO"),"POTVRZENO","ODHAD")</x:f>
        <x:v>ODHAD</x:v>
      </x:c>
      <x:c r="L37" s="221" t="n">
        <x:f>COUNTIF('4. Skladby'!$D$6:$D$73,A37)</x:f>
        <x:v>1</x:v>
      </x:c>
    </x:row>
    <x:row r="38">
      <x:c r="A38" s="47" t="str">
        <x:v>MAT-033</x:v>
      </x:c>
      <x:c r="B38" s="47" t="str">
        <x:v>Vibroizolační profily Senor</x:v>
      </x:c>
      <x:c r="C38" s="215" t="n">
        <x:v>40</x:v>
      </x:c>
      <x:c r="D38" s="47" t="str">
        <x:v>m²</x:v>
      </x:c>
      <x:c r="E38" s="216" t="n">
        <x:v>390</x:v>
      </x:c>
      <x:c r="F38" s="217" t="n">
        <x:v>0</x:v>
      </x:c>
      <x:c r="G38" s="218" t="n">
        <x:f>E38*(1+F38)</x:f>
        <x:v>390</x:v>
      </x:c>
      <x:c r="H38" s="219" t="str">
        <x:v>VESPER_FRAMES_CENOTVORBA_ROZPAD_SKLADEB.xlsx</x:v>
      </x:c>
      <x:c r="I38" s="220"/>
      <x:c r="J38" s="219" t="str">
        <x:v>NE</x:v>
      </x:c>
      <x:c r="K38" s="92" t="str">
        <x:f>IF(AND(E38&gt;0,H38&lt;&gt;"",I38&lt;&gt;"",J38="ANO"),"POTVRZENO","ODHAD")</x:f>
        <x:v>ODHAD</x:v>
      </x:c>
      <x:c r="L38" s="221" t="n">
        <x:f>COUNTIF('4. Skladby'!$D$6:$D$73,A38)</x:f>
        <x:v>1</x:v>
      </x:c>
    </x:row>
    <x:row r="39">
      <x:c r="A39" s="47" t="str">
        <x:v>MAT-034</x:v>
      </x:c>
      <x:c r="B39" s="47" t="str">
        <x:v>Fermacell Voštinový zásyp 60 mm</x:v>
      </x:c>
      <x:c r="C39" s="215" t="n">
        <x:v>60</x:v>
      </x:c>
      <x:c r="D39" s="47" t="str">
        <x:v>m²</x:v>
      </x:c>
      <x:c r="E39" s="216" t="n">
        <x:v>780</x:v>
      </x:c>
      <x:c r="F39" s="217" t="n">
        <x:v>0</x:v>
      </x:c>
      <x:c r="G39" s="218" t="n">
        <x:f>E39*(1+F39)</x:f>
        <x:v>780</x:v>
      </x:c>
      <x:c r="H39" s="219" t="str">
        <x:v>VESPER_FRAMES_CENOTVORBA_ROZPAD_SKLADEB.xlsx</x:v>
      </x:c>
      <x:c r="I39" s="220"/>
      <x:c r="J39" s="219" t="str">
        <x:v>NE</x:v>
      </x:c>
      <x:c r="K39" s="92" t="str">
        <x:f>IF(AND(E39&gt;0,H39&lt;&gt;"",I39&lt;&gt;"",J39="ANO"),"POTVRZENO","ODHAD")</x:f>
        <x:v>ODHAD</x:v>
      </x:c>
      <x:c r="L39" s="221" t="n">
        <x:f>COUNTIF('4. Skladby'!$D$6:$D$73,A39)</x:f>
        <x:v>1</x:v>
      </x:c>
    </x:row>
    <x:row r="40">
      <x:c r="A40" s="47" t="str">
        <x:v>MAT-035</x:v>
      </x:c>
      <x:c r="B40" s="47" t="str">
        <x:v>Dřevěné I-nosníky 240 mm</x:v>
      </x:c>
      <x:c r="C40" s="215" t="n">
        <x:v>240</x:v>
      </x:c>
      <x:c r="D40" s="47" t="str">
        <x:v>m³</x:v>
      </x:c>
      <x:c r="E40" s="216" t="n">
        <x:v>14500</x:v>
      </x:c>
      <x:c r="F40" s="217" t="n">
        <x:v>0</x:v>
      </x:c>
      <x:c r="G40" s="218" t="n">
        <x:f>E40*(1+F40)</x:f>
        <x:v>14500</x:v>
      </x:c>
      <x:c r="H40" s="219" t="str">
        <x:v>VESPER_FRAMES_CENOTVORBA_ROZPAD_SKLADEB.xlsx</x:v>
      </x:c>
      <x:c r="I40" s="220"/>
      <x:c r="J40" s="219" t="str">
        <x:v>NE</x:v>
      </x:c>
      <x:c r="K40" s="92" t="str">
        <x:f>IF(AND(E40&gt;0,H40&lt;&gt;"",I40&lt;&gt;"",J40="ANO"),"POTVRZENO","ODHAD")</x:f>
        <x:v>ODHAD</x:v>
      </x:c>
      <x:c r="L40" s="221" t="n">
        <x:f>COUNTIF('4. Skladby'!$D$6:$D$73,A40)</x:f>
        <x:v>1</x:v>
      </x:c>
    </x:row>
    <x:row r="41">
      <x:c r="A41" s="47" t="str">
        <x:v>MAT-036</x:v>
      </x:c>
      <x:c r="B41" s="47" t="str">
        <x:v>Isover Akustik 140 mm</x:v>
      </x:c>
      <x:c r="C41" s="215" t="n">
        <x:v>140</x:v>
      </x:c>
      <x:c r="D41" s="47" t="str">
        <x:v>m²</x:v>
      </x:c>
      <x:c r="E41" s="216" t="n">
        <x:v>260</x:v>
      </x:c>
      <x:c r="F41" s="217" t="n">
        <x:v>0</x:v>
      </x:c>
      <x:c r="G41" s="218" t="n">
        <x:f>E41*(1+F41)</x:f>
        <x:v>260</x:v>
      </x:c>
      <x:c r="H41" s="219" t="str">
        <x:v>VESPER_FRAMES_CENOTVORBA_ROZPAD_SKLADEB.xlsx</x:v>
      </x:c>
      <x:c r="I41" s="220"/>
      <x:c r="J41" s="219" t="str">
        <x:v>NE</x:v>
      </x:c>
      <x:c r="K41" s="92" t="str">
        <x:f>IF(AND(E41&gt;0,H41&lt;&gt;"",I41&lt;&gt;"",J41="ANO"),"POTVRZENO","ODHAD")</x:f>
        <x:v>ODHAD</x:v>
      </x:c>
      <x:c r="L41" s="221" t="n">
        <x:f>COUNTIF('4. Skladby'!$D$6:$D$73,A41)</x:f>
        <x:v>1</x:v>
      </x:c>
    </x:row>
    <x:row r="42">
      <x:c r="A42" s="47" t="str">
        <x:v>MAT-037</x:v>
      </x:c>
      <x:c r="B42" s="47" t="str">
        <x:v>Isover Floor 60 mm</x:v>
      </x:c>
      <x:c r="C42" s="215" t="n">
        <x:v>60</x:v>
      </x:c>
      <x:c r="D42" s="47" t="str">
        <x:v>m²</x:v>
      </x:c>
      <x:c r="E42" s="216" t="n">
        <x:v>320</x:v>
      </x:c>
      <x:c r="F42" s="217" t="n">
        <x:v>0</x:v>
      </x:c>
      <x:c r="G42" s="218" t="n">
        <x:f>E42*(1+F42)</x:f>
        <x:v>320</x:v>
      </x:c>
      <x:c r="H42" s="219" t="str">
        <x:v>VESPER_FRAMES_CENOTVORBA_ROZPAD_SKLADEB.xlsx</x:v>
      </x:c>
      <x:c r="I42" s="220"/>
      <x:c r="J42" s="219" t="str">
        <x:v>NE</x:v>
      </x:c>
      <x:c r="K42" s="92" t="str">
        <x:f>IF(AND(E42&gt;0,H42&lt;&gt;"",I42&lt;&gt;"",J42="ANO"),"POTVRZENO","ODHAD")</x:f>
        <x:v>ODHAD</x:v>
      </x:c>
      <x:c r="L42" s="221" t="n">
        <x:f>COUNTIF('4. Skladby'!$D$6:$D$73,A42)</x:f>
        <x:v>1</x:v>
      </x:c>
    </x:row>
    <x:row r="43">
      <x:c r="A43" s="47" t="str">
        <x:v>MAT-038</x:v>
      </x:c>
      <x:c r="B43" s="47" t="str">
        <x:v>Fermacell E22 mm</x:v>
      </x:c>
      <x:c r="C43" s="215" t="n">
        <x:v>22</x:v>
      </x:c>
      <x:c r="D43" s="47" t="str">
        <x:v>m²</x:v>
      </x:c>
      <x:c r="E43" s="216" t="n">
        <x:v>590</x:v>
      </x:c>
      <x:c r="F43" s="217" t="n">
        <x:v>0</x:v>
      </x:c>
      <x:c r="G43" s="218" t="n">
        <x:f>E43*(1+F43)</x:f>
        <x:v>590</x:v>
      </x:c>
      <x:c r="H43" s="219" t="str">
        <x:v>VESPER_FRAMES_CENOTVORBA_ROZPAD_SKLADEB.xlsx</x:v>
      </x:c>
      <x:c r="I43" s="220"/>
      <x:c r="J43" s="219" t="str">
        <x:v>NE</x:v>
      </x:c>
      <x:c r="K43" s="92" t="str">
        <x:f>IF(AND(E43&gt;0,H43&lt;&gt;"",I43&lt;&gt;"",J43="ANO"),"POTVRZENO","ODHAD")</x:f>
        <x:v>ODHAD</x:v>
      </x:c>
      <x:c r="L43" s="221" t="n">
        <x:f>COUNTIF('4. Skladby'!$D$6:$D$73,A43)</x:f>
        <x:v>1</x:v>
      </x:c>
    </x:row>
    <x:row r="44">
      <x:c r="A44" s="47" t="str">
        <x:v>MAT-039</x:v>
      </x:c>
      <x:c r="B44" s="47" t="str">
        <x:v>Latě 40×60 mm</x:v>
      </x:c>
      <x:c r="C44" s="215" t="n">
        <x:v>40</x:v>
      </x:c>
      <x:c r="D44" s="47" t="str">
        <x:v>m³</x:v>
      </x:c>
      <x:c r="E44" s="216" t="n">
        <x:v>11000</x:v>
      </x:c>
      <x:c r="F44" s="217" t="n">
        <x:v>0</x:v>
      </x:c>
      <x:c r="G44" s="218" t="n">
        <x:f>E44*(1+F44)</x:f>
        <x:v>11000</x:v>
      </x:c>
      <x:c r="H44" s="219" t="str">
        <x:v>VESPER_FRAMES_CENOTVORBA_ROZPAD_SKLADEB.xlsx</x:v>
      </x:c>
      <x:c r="I44" s="220"/>
      <x:c r="J44" s="219" t="str">
        <x:v>NE</x:v>
      </x:c>
      <x:c r="K44" s="92" t="str">
        <x:f>IF(AND(E44&gt;0,H44&lt;&gt;"",I44&lt;&gt;"",J44="ANO"),"POTVRZENO","ODHAD")</x:f>
        <x:v>ODHAD</x:v>
      </x:c>
      <x:c r="L44" s="221" t="n">
        <x:f>COUNTIF('4. Skladby'!$D$6:$D$73,A44)</x:f>
        <x:v>1</x:v>
      </x:c>
    </x:row>
    <x:row r="45">
      <x:c r="A45" s="47" t="str">
        <x:v>MAT-040</x:v>
      </x:c>
      <x:c r="B45" s="47" t="str">
        <x:v>Vesper ReflectAlu 0.3 mm</x:v>
      </x:c>
      <x:c r="C45" s="215" t="n">
        <x:v>0.3</x:v>
      </x:c>
      <x:c r="D45" s="47" t="str">
        <x:v>m²</x:v>
      </x:c>
      <x:c r="E45" s="216" t="n">
        <x:v>75</x:v>
      </x:c>
      <x:c r="F45" s="217" t="n">
        <x:v>0</x:v>
      </x:c>
      <x:c r="G45" s="218" t="n">
        <x:f>E45*(1+F45)</x:f>
        <x:v>75</x:v>
      </x:c>
      <x:c r="H45" s="219" t="str">
        <x:v>VESPER_FRAMES_CENOTVORBA_ROZPAD_SKLADEB.xlsx</x:v>
      </x:c>
      <x:c r="I45" s="220"/>
      <x:c r="J45" s="219" t="str">
        <x:v>NE</x:v>
      </x:c>
      <x:c r="K45" s="92" t="str">
        <x:f>IF(AND(E45&gt;0,H45&lt;&gt;"",I45&lt;&gt;"",J45="ANO"),"POTVRZENO","ODHAD")</x:f>
        <x:v>ODHAD</x:v>
      </x:c>
      <x:c r="L45" s="221" t="n">
        <x:f>COUNTIF('4. Skladby'!$D$6:$D$73,A45)</x:f>
        <x:v>1</x:v>
      </x:c>
    </x:row>
    <x:row r="46">
      <x:c r="A46" s="47" t="str">
        <x:v>MAT-041</x:v>
      </x:c>
      <x:c r="B46" s="47" t="str">
        <x:v>KVH krokevní nosníky 240 mm</x:v>
      </x:c>
      <x:c r="C46" s="215" t="n">
        <x:v>240</x:v>
      </x:c>
      <x:c r="D46" s="47" t="str">
        <x:v>m³</x:v>
      </x:c>
      <x:c r="E46" s="216" t="n">
        <x:v>13500</x:v>
      </x:c>
      <x:c r="F46" s="217" t="n">
        <x:v>0</x:v>
      </x:c>
      <x:c r="G46" s="218" t="n">
        <x:f>E46*(1+F46)</x:f>
        <x:v>13500</x:v>
      </x:c>
      <x:c r="H46" s="219" t="str">
        <x:v>VESPER_FRAMES_CENOTVORBA_ROZPAD_SKLADEB.xlsx</x:v>
      </x:c>
      <x:c r="I46" s="220"/>
      <x:c r="J46" s="219" t="str">
        <x:v>NE</x:v>
      </x:c>
      <x:c r="K46" s="92" t="str">
        <x:f>IF(AND(E46&gt;0,H46&lt;&gt;"",I46&lt;&gt;"",J46="ANO"),"POTVRZENO","ODHAD")</x:f>
        <x:v>ODHAD</x:v>
      </x:c>
      <x:c r="L46" s="221" t="n">
        <x:f>COUNTIF('4. Skladby'!$D$6:$D$73,A46)</x:f>
        <x:v>1</x:v>
      </x:c>
    </x:row>
    <x:row r="47">
      <x:c r="A47" s="47" t="str">
        <x:v>MAT-042</x:v>
      </x:c>
      <x:c r="B47" s="47" t="str">
        <x:v>Isover Uni 240 mm</x:v>
      </x:c>
      <x:c r="C47" s="215" t="n">
        <x:v>240</x:v>
      </x:c>
      <x:c r="D47" s="47" t="str">
        <x:v>m²</x:v>
      </x:c>
      <x:c r="E47" s="216" t="n">
        <x:v>540</x:v>
      </x:c>
      <x:c r="F47" s="217" t="n">
        <x:v>0</x:v>
      </x:c>
      <x:c r="G47" s="218" t="n">
        <x:f>E47*(1+F47)</x:f>
        <x:v>540</x:v>
      </x:c>
      <x:c r="H47" s="219" t="str">
        <x:v>VESPER_FRAMES_CENOTVORBA_ROZPAD_SKLADEB.xlsx</x:v>
      </x:c>
      <x:c r="I47" s="220"/>
      <x:c r="J47" s="219" t="str">
        <x:v>NE</x:v>
      </x:c>
      <x:c r="K47" s="92" t="str">
        <x:f>IF(AND(E47&gt;0,H47&lt;&gt;"",I47&lt;&gt;"",J47="ANO"),"POTVRZENO","ODHAD")</x:f>
        <x:v>ODHAD</x:v>
      </x:c>
      <x:c r="L47" s="221" t="n">
        <x:f>COUNTIF('4. Skladby'!$D$6:$D$73,A47)</x:f>
        <x:v>2</x:v>
      </x:c>
    </x:row>
    <x:row r="48">
      <x:c r="A48" s="47" t="str">
        <x:v>MAT-043</x:v>
      </x:c>
      <x:c r="B48" s="47" t="str">
        <x:v>STEICO special dry 60 mm</x:v>
      </x:c>
      <x:c r="C48" s="215" t="n">
        <x:v>60</x:v>
      </x:c>
      <x:c r="D48" s="47" t="str">
        <x:v>m²</x:v>
      </x:c>
      <x:c r="E48" s="216" t="n">
        <x:v>590</x:v>
      </x:c>
      <x:c r="F48" s="217" t="n">
        <x:v>0</x:v>
      </x:c>
      <x:c r="G48" s="218" t="n">
        <x:f>E48*(1+F48)</x:f>
        <x:v>590</x:v>
      </x:c>
      <x:c r="H48" s="219" t="str">
        <x:v>VESPER_FRAMES_CENOTVORBA_ROZPAD_SKLADEB.xlsx</x:v>
      </x:c>
      <x:c r="I48" s="220"/>
      <x:c r="J48" s="219" t="str">
        <x:v>NE</x:v>
      </x:c>
      <x:c r="K48" s="92" t="str">
        <x:f>IF(AND(E48&gt;0,H48&lt;&gt;"",I48&lt;&gt;"",J48="ANO"),"POTVRZENO","ODHAD")</x:f>
        <x:v>ODHAD</x:v>
      </x:c>
      <x:c r="L48" s="221" t="n">
        <x:f>COUNTIF('4. Skladby'!$D$6:$D$73,A48)</x:f>
        <x:v>1</x:v>
      </x:c>
    </x:row>
    <x:row r="49">
      <x:c r="A49" s="47" t="str">
        <x:v>MAT-044</x:v>
      </x:c>
      <x:c r="B49" s="47" t="str">
        <x:v>Dörken Delta-Vent N</x:v>
      </x:c>
      <x:c r="C49" s="215" t="n">
        <x:v>1</x:v>
      </x:c>
      <x:c r="D49" s="47" t="str">
        <x:v>m²</x:v>
      </x:c>
      <x:c r="E49" s="216" t="n">
        <x:v>65</x:v>
      </x:c>
      <x:c r="F49" s="217" t="n">
        <x:v>0</x:v>
      </x:c>
      <x:c r="G49" s="218" t="n">
        <x:f>E49*(1+F49)</x:f>
        <x:v>65</x:v>
      </x:c>
      <x:c r="H49" s="219" t="str">
        <x:v>VESPER_FRAMES_CENOTVORBA_ROZPAD_SKLADEB.xlsx</x:v>
      </x:c>
      <x:c r="I49" s="220"/>
      <x:c r="J49" s="219" t="str">
        <x:v>NE</x:v>
      </x:c>
      <x:c r="K49" s="92" t="str">
        <x:f>IF(AND(E49&gt;0,H49&lt;&gt;"",I49&lt;&gt;"",J49="ANO"),"POTVRZENO","ODHAD")</x:f>
        <x:v>ODHAD</x:v>
      </x:c>
      <x:c r="L49" s="221" t="n">
        <x:f>COUNTIF('4. Skladby'!$D$6:$D$73,A49)</x:f>
        <x:v>1</x:v>
      </x:c>
    </x:row>
    <x:row r="50">
      <x:c r="A50" s="47" t="str">
        <x:v>MAT-045</x:v>
      </x:c>
      <x:c r="B50" s="47" t="str">
        <x:v>Impregnované latě 40×60 mm</x:v>
      </x:c>
      <x:c r="C50" s="215" t="n">
        <x:v>40</x:v>
      </x:c>
      <x:c r="D50" s="47" t="str">
        <x:v>m³</x:v>
      </x:c>
      <x:c r="E50" s="216" t="n">
        <x:v>11000</x:v>
      </x:c>
      <x:c r="F50" s="217" t="n">
        <x:v>0</x:v>
      </x:c>
      <x:c r="G50" s="218" t="n">
        <x:f>E50*(1+F50)</x:f>
        <x:v>11000</x:v>
      </x:c>
      <x:c r="H50" s="219" t="str">
        <x:v>VESPER_FRAMES_CENOTVORBA_ROZPAD_SKLADEB.xlsx</x:v>
      </x:c>
      <x:c r="I50" s="220"/>
      <x:c r="J50" s="219" t="str">
        <x:v>NE</x:v>
      </x:c>
      <x:c r="K50" s="92" t="str">
        <x:f>IF(AND(E50&gt;0,H50&lt;&gt;"",I50&lt;&gt;"",J50="ANO"),"POTVRZENO","ODHAD")</x:f>
        <x:v>ODHAD</x:v>
      </x:c>
      <x:c r="L50" s="221" t="n">
        <x:f>COUNTIF('4. Skladby'!$D$6:$D$73,A50)</x:f>
        <x:v>1</x:v>
      </x:c>
    </x:row>
    <x:row r="51">
      <x:c r="A51" s="47" t="str">
        <x:v>MAT-046</x:v>
      </x:c>
      <x:c r="B51" s="47" t="str">
        <x:v>Vesper VaporStop Alu 0.4 mm</x:v>
      </x:c>
      <x:c r="C51" s="215" t="n">
        <x:v>0.4</x:v>
      </x:c>
      <x:c r="D51" s="47" t="str">
        <x:v>m²</x:v>
      </x:c>
      <x:c r="E51" s="216" t="n">
        <x:v>85</x:v>
      </x:c>
      <x:c r="F51" s="217" t="n">
        <x:v>0</x:v>
      </x:c>
      <x:c r="G51" s="218" t="n">
        <x:f>E51*(1+F51)</x:f>
        <x:v>85</x:v>
      </x:c>
      <x:c r="H51" s="219" t="str">
        <x:v>VESPER_FRAMES_CENOTVORBA_ROZPAD_SKLADEB.xlsx</x:v>
      </x:c>
      <x:c r="I51" s="220"/>
      <x:c r="J51" s="219" t="str">
        <x:v>NE</x:v>
      </x:c>
      <x:c r="K51" s="92" t="str">
        <x:f>IF(AND(E51&gt;0,H51&lt;&gt;"",I51&lt;&gt;"",J51="ANO"),"POTVRZENO","ODHAD")</x:f>
        <x:v>ODHAD</x:v>
      </x:c>
      <x:c r="L51" s="221" t="n">
        <x:f>COUNTIF('4. Skladby'!$D$6:$D$73,A51)</x:f>
        <x:v>1</x:v>
      </x:c>
    </x:row>
    <x:row r="52">
      <x:c r="A52" s="47" t="str">
        <x:v>MAT-047</x:v>
      </x:c>
      <x:c r="B52" s="47" t="str">
        <x:v>KVH 240 mm</x:v>
      </x:c>
      <x:c r="C52" s="215" t="n">
        <x:v>240</x:v>
      </x:c>
      <x:c r="D52" s="47" t="str">
        <x:v>m³</x:v>
      </x:c>
      <x:c r="E52" s="216" t="n">
        <x:v>12500</x:v>
      </x:c>
      <x:c r="F52" s="217" t="n">
        <x:v>0</x:v>
      </x:c>
      <x:c r="G52" s="218" t="n">
        <x:f>E52*(1+F52)</x:f>
        <x:v>12500</x:v>
      </x:c>
      <x:c r="H52" s="219" t="str">
        <x:v>VESPER_FRAMES_CENOTVORBA_ROZPAD_SKLADEB.xlsx</x:v>
      </x:c>
      <x:c r="I52" s="220"/>
      <x:c r="J52" s="219" t="str">
        <x:v>NE</x:v>
      </x:c>
      <x:c r="K52" s="92" t="str">
        <x:f>IF(AND(E52&gt;0,H52&lt;&gt;"",I52&lt;&gt;"",J52="ANO"),"POTVRZENO","ODHAD")</x:f>
        <x:v>ODHAD</x:v>
      </x:c>
      <x:c r="L52" s="221" t="n">
        <x:f>COUNTIF('4. Skladby'!$D$6:$D$73,A52)</x:f>
        <x:v>1</x:v>
      </x:c>
    </x:row>
    <x:row r="53">
      <x:c r="A53" s="47" t="str">
        <x:v>MAT-048</x:v>
      </x:c>
      <x:c r="B53" s="47" t="str">
        <x:v>Klíny EPS 150 Stabil 180 mm</x:v>
      </x:c>
      <x:c r="C53" s="215" t="n">
        <x:v>180</x:v>
      </x:c>
      <x:c r="D53" s="47" t="str">
        <x:v>m²</x:v>
      </x:c>
      <x:c r="E53" s="216" t="n">
        <x:v>620</x:v>
      </x:c>
      <x:c r="F53" s="217" t="n">
        <x:v>0</x:v>
      </x:c>
      <x:c r="G53" s="218" t="n">
        <x:f>E53*(1+F53)</x:f>
        <x:v>620</x:v>
      </x:c>
      <x:c r="H53" s="219" t="str">
        <x:v>VESPER_FRAMES_CENOTVORBA_ROZPAD_SKLADEB.xlsx</x:v>
      </x:c>
      <x:c r="I53" s="220"/>
      <x:c r="J53" s="219" t="str">
        <x:v>NE</x:v>
      </x:c>
      <x:c r="K53" s="92" t="str">
        <x:f>IF(AND(E53&gt;0,H53&lt;&gt;"",I53&lt;&gt;"",J53="ANO"),"POTVRZENO","ODHAD")</x:f>
        <x:v>ODHAD</x:v>
      </x:c>
      <x:c r="L53" s="221" t="n">
        <x:f>COUNTIF('4. Skladby'!$D$6:$D$73,A53)</x:f>
        <x:v>1</x:v>
      </x:c>
    </x:row>
    <x:row r="54">
      <x:c r="A54" s="47" t="str">
        <x:v>MAT-049</x:v>
      </x:c>
      <x:c r="B54" s="47" t="str">
        <x:v>Fatrafol 810 (tl. 1.5 mm)</x:v>
      </x:c>
      <x:c r="C54" s="215" t="n">
        <x:v>1.5</x:v>
      </x:c>
      <x:c r="D54" s="47" t="str">
        <x:v>m²</x:v>
      </x:c>
      <x:c r="E54" s="216" t="n">
        <x:v>490</x:v>
      </x:c>
      <x:c r="F54" s="217" t="n">
        <x:v>0</x:v>
      </x:c>
      <x:c r="G54" s="218" t="n">
        <x:f>E54*(1+F54)</x:f>
        <x:v>490</x:v>
      </x:c>
      <x:c r="H54" s="219" t="str">
        <x:v>VESPER_FRAMES_CENOTVORBA_ROZPAD_SKLADEB.xlsx</x:v>
      </x:c>
      <x:c r="I54" s="220"/>
      <x:c r="J54" s="219" t="str">
        <x:v>NE</x:v>
      </x:c>
      <x:c r="K54" s="92" t="str">
        <x:f>IF(AND(E54&gt;0,H54&lt;&gt;"",I54&lt;&gt;"",J54="ANO"),"POTVRZENO","ODHAD")</x:f>
        <x:v>ODHAD</x:v>
      </x:c>
      <x:c r="L54" s="221" t="n">
        <x:f>COUNTIF('4. Skladby'!$D$6:$D$73,A54)</x:f>
        <x:v>1</x:v>
      </x:c>
    </x:row>
    <x:row r="55">
      <x:c r="A55" s="47" t="str">
        <x:v>MAT-050</x:v>
      </x:c>
      <x:c r="B55" s="47" t="str">
        <x:v>Glastek 40 Special Mineral</x:v>
      </x:c>
      <x:c r="C55" s="215" t="n">
        <x:v>4</x:v>
      </x:c>
      <x:c r="D55" s="47" t="str">
        <x:v>m²</x:v>
      </x:c>
      <x:c r="E55" s="216" t="n">
        <x:v>160</x:v>
      </x:c>
      <x:c r="F55" s="217" t="n">
        <x:v>0</x:v>
      </x:c>
      <x:c r="G55" s="218" t="n">
        <x:f>E55*(1+F55)</x:f>
        <x:v>160</x:v>
      </x:c>
      <x:c r="H55" s="219" t="str">
        <x:v>VESPER_FRAMES_CENOTVORBA_ROZPAD_SKLADEB.xlsx</x:v>
      </x:c>
      <x:c r="I55" s="220"/>
      <x:c r="J55" s="219" t="str">
        <x:v>NE</x:v>
      </x:c>
      <x:c r="K55" s="92" t="str">
        <x:f>IF(AND(E55&gt;0,H55&lt;&gt;"",I55&lt;&gt;"",J55="ANO"),"POTVRZENO","ODHAD")</x:f>
        <x:v>ODHAD</x:v>
      </x:c>
      <x:c r="L55" s="221" t="n">
        <x:f>COUNTIF('4. Skladby'!$D$6:$D$73,A55)</x:f>
        <x:v>1</x:v>
      </x:c>
    </x:row>
    <x:row r="56">
      <x:c r="A56" s="47" t="str">
        <x:v>MAT-051</x:v>
      </x:c>
      <x:c r="B56" s="47" t="str">
        <x:v>EPS 100 Stabil 120 mm</x:v>
      </x:c>
      <x:c r="C56" s="215" t="n">
        <x:v>120</x:v>
      </x:c>
      <x:c r="D56" s="47" t="str">
        <x:v>m²</x:v>
      </x:c>
      <x:c r="E56" s="216" t="n">
        <x:v>320</x:v>
      </x:c>
      <x:c r="F56" s="217" t="n">
        <x:v>0</x:v>
      </x:c>
      <x:c r="G56" s="218" t="n">
        <x:f>E56*(1+F56)</x:f>
        <x:v>320</x:v>
      </x:c>
      <x:c r="H56" s="219" t="str">
        <x:v>VESPER_FRAMES_CENOTVORBA_ROZPAD_SKLADEB.xlsx</x:v>
      </x:c>
      <x:c r="I56" s="220"/>
      <x:c r="J56" s="219" t="str">
        <x:v>NE</x:v>
      </x:c>
      <x:c r="K56" s="92" t="str">
        <x:f>IF(AND(E56&gt;0,H56&lt;&gt;"",I56&lt;&gt;"",J56="ANO"),"POTVRZENO","ODHAD")</x:f>
        <x:v>ODHAD</x:v>
      </x:c>
      <x:c r="L56" s="221" t="n">
        <x:f>COUNTIF('4. Skladby'!$D$6:$D$73,A56)</x:f>
        <x:v>1</x:v>
      </x:c>
    </x:row>
  </x:sheetData>
  <x:mergeCells>
    <x:mergeCell ref="A1:L1"/>
    <x:mergeCell ref="A2:L2"/>
    <x:mergeCell ref="A4:L4"/>
  </x:mergeCells>
  <x:conditionalFormatting sqref="K6:K56">
    <x:cfRule type="containsText" dxfId="97" priority="1" operator="containsText" text="POTVRZENO"/>
    <x:cfRule type="containsText" dxfId="98" priority="2" operator="containsText" text="ODHAD"/>
  </x:conditionalFormatting>
  <x:dataValidations count="1">
    <x:dataValidation type="list" sqref="J6:J56">
      <x:formula1>"NE,ANO"</x:formula1>
    </x:dataValidation>
  </x:dataValidations>
  <x:pageMargins left="0.7" right="0.7" top="0.75" bottom="0.75" header="0.3" footer="0.3"/>
</x:worksheet>
</file>