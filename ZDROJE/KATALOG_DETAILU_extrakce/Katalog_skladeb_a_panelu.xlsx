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9f6879e67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řehled skladeb" sheetId="1" r:id="R6a358b7194914d23"/>
    <x:sheet xmlns:r="http://schemas.openxmlformats.org/officeDocument/2006/relationships" name="Vrstvy" sheetId="2" r:id="R8353bd67a88f4282"/>
    <x:sheet xmlns:r="http://schemas.openxmlformats.org/officeDocument/2006/relationships" name="Výkresy a obrázky" sheetId="3" r:id="Re62b495db2a4437f"/>
    <x:sheet xmlns:r="http://schemas.openxmlformats.org/officeDocument/2006/relationships" name="Kontrola úplnosti" sheetId="4" r:id="R23d63ac58f83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.000"/>
    <x:numFmt numFmtId="203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5E6B65"/>
      <x:name val="Carlito"/>
    </x:font>
    <x:font>
      <x:b/>
      <x:sz val="10"/>
      <x:color rgb="FF17382E"/>
      <x:name val="Carlito"/>
    </x:font>
    <x:font>
      <x:b/>
      <x:sz val="14"/>
      <x:color rgb="FF17382E"/>
      <x:name val="Carlito"/>
    </x:font>
    <x:font>
      <x:sz val="10"/>
      <x:color rgb="FF26332D"/>
      <x:name val="Carlito"/>
    </x:font>
    <x:font>
      <x:b/>
      <x:sz val="10"/>
      <x:color rgb="FFFFFFFF"/>
      <x:name val="Carlito"/>
    </x:font>
    <x:font>
      <x:sz val="10"/>
      <x:color rgb="FF6E4D0A"/>
      <x:name val="Carlito"/>
    </x:font>
    <x:font>
      <x:b/>
      <x:sz val="9"/>
      <x:color rgb="FF17382E"/>
      <x:name val="Carlito"/>
    </x:font>
    <x:font>
      <x:sz val="9"/>
      <x:color rgb="FF5E6B65"/>
      <x:name val="Carlito"/>
    </x:font>
    <x:font>
      <x:b/>
      <x:sz val="10"/>
      <x:color rgb="FF1E5B2A"/>
      <x:name val="Carlito"/>
    </x:font>
    <x:font>
      <x:b/>
      <x:sz val="10"/>
      <x:color rgb="FF6E4D0A"/>
      <x:name val="Carlito"/>
    </x:font>
    <x:font>
      <x:sz val="9"/>
      <x:color rgb="FF17382E"/>
      <x:name val="Carlito"/>
    </x:font>
    <x:font>
      <x:sz val="9"/>
      <x:color rgb="FF6E4D0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84B3D"/>
      </x:patternFill>
    </x:fill>
    <x:fill>
      <x:patternFill patternType="solid">
        <x:fgColor rgb="FFF2F6F3"/>
      </x:patternFill>
    </x:fill>
    <x:fill>
      <x:patternFill patternType="solid">
        <x:fgColor rgb="FFDCE8E0"/>
      </x:patternFill>
    </x:fill>
    <x:fill>
      <x:patternFill patternType="solid">
        <x:fgColor rgb="FFF2E7D5"/>
      </x:patternFill>
    </x:fill>
    <x:fill>
      <x:patternFill patternType="solid">
        <x:fgColor rgb="FFE5EEF2"/>
      </x:patternFill>
    </x:fill>
    <x:fill>
      <x:patternFill patternType="solid">
        <x:fgColor rgb="FFF6E3B4"/>
      </x:patternFill>
    </x:fill>
    <x:fill>
      <x:patternFill patternType="solid">
        <x:fgColor rgb="FF3D6478"/>
      </x:patternFill>
    </x:fill>
    <x:fill>
      <x:patternFill patternType="solid">
        <x:fgColor rgb="FFDDEDDC"/>
      </x:patternFill>
    </x:fill>
  </x:fills>
  <x:borders count="5">
    <x:border/>
    <x:border>
      <x:bottom style="thin">
        <x:color rgb="FFC8D2CC"/>
      </x:bottom>
    </x:border>
    <x:border>
      <x:top style="thin">
        <x:color rgb="FFC8D2CC"/>
      </x:top>
      <x:bottom style="thin">
        <x:color rgb="FFC8D2CC"/>
      </x:bottom>
    </x:border>
    <x:border>
      <x:top style="thin">
        <x:color rgb="FFC8D2CC"/>
      </x:top>
    </x:border>
    <x:border>
      <x:bottom style="medium">
        <x:color rgb="FF17382E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4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horizont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right" vertical="top" wrapText="1"/>
    </x:xf>
    <x:xf numFmtId="0" fontId="5" fillId="0" borderId="2" xfId="0" applyNumberFormat="1" applyFont="1" applyFill="1" applyBorder="1" applyAlignment="1">
      <x:alignment horizontal="right" vertical="top" wrapText="1"/>
    </x:xf>
    <x:xf numFmtId="0" fontId="5" fillId="0" borderId="3" xfId="0" applyNumberFormat="1" applyFont="1" applyFill="1" applyBorder="1" applyAlignment="1">
      <x:alignment horizontal="right" vertical="top" wrapText="1"/>
    </x:xf>
    <x:xf numFmtId="200" fontId="5" fillId="0" borderId="1" xfId="0" applyNumberFormat="1" applyFont="1" applyFill="1" applyBorder="1" applyAlignment="1">
      <x:alignment horizontal="right" vertical="top" wrapText="1"/>
    </x:xf>
    <x:xf numFmtId="200" fontId="5" fillId="0" borderId="2" xfId="0" applyNumberFormat="1" applyFont="1" applyFill="1" applyBorder="1" applyAlignment="1">
      <x:alignment horizontal="right" vertical="top" wrapText="1"/>
    </x:xf>
    <x:xf numFmtId="200" fontId="5" fillId="0" borderId="3" xfId="0" applyNumberFormat="1" applyFont="1" applyFill="1" applyBorder="1" applyAlignment="1">
      <x:alignment horizontal="right" vertical="top" wrapText="1"/>
    </x:xf>
    <x:xf numFmtId="201" fontId="5" fillId="0" borderId="1" xfId="0" applyNumberFormat="1" applyFont="1" applyFill="1" applyBorder="1" applyAlignment="1">
      <x:alignment horizontal="right" vertical="top" wrapText="1"/>
    </x:xf>
    <x:xf numFmtId="201" fontId="5" fillId="0" borderId="2" xfId="0" applyNumberFormat="1" applyFont="1" applyFill="1" applyBorder="1" applyAlignment="1">
      <x:alignment horizontal="right" vertical="top" wrapText="1"/>
    </x:xf>
    <x:xf numFmtId="201" fontId="5" fillId="0" borderId="3" xfId="0" applyNumberFormat="1" applyFont="1" applyFill="1" applyBorder="1" applyAlignment="1">
      <x:alignment horizontal="right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horizontal="right" vertical="top" wrapText="1"/>
    </x:xf>
    <x:xf numFmtId="202" fontId="5" fillId="0" borderId="2" xfId="0" applyNumberFormat="1" applyFont="1" applyFill="1" applyBorder="1" applyAlignment="1">
      <x:alignment horizontal="right" vertical="top" wrapText="1"/>
    </x:xf>
    <x:xf numFmtId="202" fontId="5" fillId="0" borderId="3" xfId="0" applyNumberFormat="1" applyFont="1" applyFill="1" applyBorder="1" applyAlignment="1">
      <x:alignment horizontal="right"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vertical="top" wrapText="1"/>
    </x:xf>
    <x:xf numFmtId="0" fontId="5" fillId="9" borderId="3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10" fillId="9" borderId="2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1" fillId="7" borderId="3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horizontal="center" vertical="top" wrapText="1"/>
    </x:xf>
    <x:xf numFmtId="203" fontId="5" fillId="0" borderId="2" xfId="0" applyNumberFormat="1" applyFont="1" applyFill="1" applyBorder="1" applyAlignment="1">
      <x:alignment horizontal="center" vertical="top" wrapText="1"/>
    </x:xf>
    <x:xf numFmtId="203" fontId="5" fillId="0" borderId="3" xfId="0" applyNumberFormat="1" applyFont="1" applyFill="1" applyBorder="1" applyAlignment="1">
      <x:alignment horizontal="center" vertical="top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horizontal="center" vertical="top" wrapText="1"/>
    </x:xf>
    <x:xf numFmtId="200" fontId="5" fillId="0" borderId="2" xfId="0" applyNumberFormat="1" applyFont="1" applyFill="1" applyBorder="1" applyAlignment="1">
      <x:alignment horizontal="center" vertical="top" wrapText="1"/>
    </x:xf>
    <x:xf numFmtId="200" fontId="5" fillId="0" borderId="3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horizontal="center" vertical="top" wrapText="1"/>
    </x:xf>
    <x:xf numFmtId="0" fontId="5" fillId="9" borderId="2" xfId="0" applyNumberFormat="1" applyFont="1" applyFill="1" applyBorder="1" applyAlignment="1">
      <x:alignment horizontal="center" vertical="top" wrapText="1"/>
    </x:xf>
    <x:xf numFmtId="0" fontId="5" fillId="9" borderId="3" xfId="0" applyNumberFormat="1" applyFont="1" applyFill="1" applyBorder="1" applyAlignment="1">
      <x:alignment horizontal="center" vertical="top" wrapText="1"/>
    </x:xf>
    <x:xf numFmtId="0" fontId="13" fillId="7" borderId="1" xfId="0" applyNumberFormat="1" applyFont="1" applyFill="1" applyBorder="1" applyAlignment="1">
      <x:alignment vertical="top" wrapText="1"/>
    </x:xf>
    <x:xf numFmtId="0" fontId="13" fillId="7" borderId="2" xfId="0" applyNumberFormat="1" applyFont="1" applyFill="1" applyBorder="1" applyAlignment="1">
      <x:alignment vertical="top" wrapText="1"/>
    </x:xf>
    <x:xf numFmtId="0" fontId="13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deda07ddd4595" /><Relationship Type="http://schemas.openxmlformats.org/officeDocument/2006/relationships/theme" Target="/xl/theme/theme1.xml" Id="R9eada90fce7c457e" /><Relationship Type="http://schemas.openxmlformats.org/officeDocument/2006/relationships/sharedStrings" Target="/xl/sharedStrings.xml" Id="R771a1c9affd84b92" /><Relationship Type="http://schemas.openxmlformats.org/officeDocument/2006/relationships/worksheet" Target="/xl/worksheets/sheet1.xml" Id="R6a358b7194914d23" /><Relationship Type="http://schemas.openxmlformats.org/officeDocument/2006/relationships/worksheet" Target="/xl/worksheets/sheet2.xml" Id="R8353bd67a88f4282" /><Relationship Type="http://schemas.openxmlformats.org/officeDocument/2006/relationships/worksheet" Target="/xl/worksheets/sheet3.xml" Id="Re62b495db2a4437f" /><Relationship Type="http://schemas.openxmlformats.org/officeDocument/2006/relationships/worksheet" Target="/xl/worksheets/sheet4.xml" Id="R23d63ac58f834a9f" /></Relationships>
</file>

<file path=xl/tables/table1.xml><?xml version="1.0" encoding="utf-8"?>
<x:table xmlns:x="http://schemas.openxmlformats.org/spreadsheetml/2006/main" id="1" name="PanelOverviewTable" displayName="PanelOverviewTable" ref="A5:O15" headerRowCount="1" totalsRowCount="0" totalsRowShown="0">
  <x:tableColumns count="15">
    <x:tableColumn id="1" name="Pořadí"/>
    <x:tableColumn id="2" name="Kód katalogu"/>
    <x:tableColumn id="3" name="Zdrojový název"/>
    <x:tableColumn id="4" name="Navržený uživatelský název"/>
    <x:tableColumn id="5" name="Typ konstrukce"/>
    <x:tableColumn id="6" name="Popis skladby ve zdroji"/>
    <x:tableColumn id="7" name="Směr vrstev"/>
    <x:tableColumn id="8" name="Celková tloušťka [mm]"/>
    <x:tableColumn id="9" name="Celková hmotnost [kg/m²]"/>
    <x:tableColumn id="10" name="U [W/(m²·K)]"/>
    <x:tableColumn id="11" name="Požární odolnost"/>
    <x:tableColumn id="12" name="Zvuková izolace"/>
    <x:tableColumn id="13" name="Poznámka konstrukce"/>
    <x:tableColumn id="14" name="Varianty / doplňující údaj"/>
    <x:tableColumn id="15" name="Kontrolní poznámk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anelLayersTable" displayName="PanelLayersTable" ref="A5:K101" headerRowCount="1" totalsRowCount="0" totalsRowShown="0">
  <x:tableColumns count="11">
    <x:tableColumn id="1" name="Kód katalogu"/>
    <x:tableColumn id="2" name="Navržený uživatelský název"/>
    <x:tableColumn id="3" name="Vrstva"/>
    <x:tableColumn id="4" name="Směr skladby"/>
    <x:tableColumn id="5" name="Popis vrstvy"/>
    <x:tableColumn id="6" name="Tloušťka [mm]"/>
    <x:tableColumn id="7" name="Hmotnost [kg/m²]"/>
    <x:tableColumn id="8" name="λ [W/(m·K)]"/>
    <x:tableColumn id="9" name="Třída reakce na oheň"/>
    <x:tableColumn id="10" name="Strana PDF"/>
    <x:tableColumn id="11" name="Zdrojový soubo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rawingFilesTable" displayName="DrawingFilesTable" ref="A5:O15" headerRowCount="1" totalsRowCount="0" totalsRowShown="0">
  <x:tableColumns count="15">
    <x:tableColumn id="1" name="Kód katalogu"/>
    <x:tableColumn id="2" name="Navržený uživatelský název"/>
    <x:tableColumn id="3" name="Název výkresu – řádek 1"/>
    <x:tableColumn id="4" name="Název výkresu – řádek 2"/>
    <x:tableColumn id="5" name="Číslo výkresu"/>
    <x:tableColumn id="6" name="Kreslil"/>
    <x:tableColumn id="7" name="Datum"/>
    <x:tableColumn id="8" name="Revize"/>
    <x:tableColumn id="9" name="Měřítko"/>
    <x:tableColumn id="10" name="Strana PDF"/>
    <x:tableColumn id="11" name="Soubor 2D bez kót"/>
    <x:tableColumn id="12" name="Stav 2D"/>
    <x:tableColumn id="13" name="Soubor 3D / záznam"/>
    <x:tableColumn id="14" name="Stav 3D"/>
    <x:tableColumn id="15" name="3D ve zdroji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mpletenessChecksTable" displayName="CompletenessChecksTable" ref="A5:Q15" headerRowCount="1" totalsRowCount="0" totalsRowShown="0">
  <x:tableColumns count="17">
    <x:tableColumn id="1" name="Kód katalogu"/>
    <x:tableColumn id="2" name="Navržený uživatelský název"/>
    <x:tableColumn id="3" name="Vrstvy ve zdroji"/>
    <x:tableColumn id="4" name="Vrstvy v Excelu"/>
    <x:tableColumn id="5" name="Shoda vrstev"/>
    <x:tableColumn id="6" name="Tloušťka zdroj [mm]"/>
    <x:tableColumn id="7" name="Součet vrstev [mm]"/>
    <x:tableColumn id="8" name="Shoda tloušťky"/>
    <x:tableColumn id="9" name="Hmotnost zdroj [kg/m²]"/>
    <x:tableColumn id="10" name="Součet vrstev [kg/m²]"/>
    <x:tableColumn id="11" name="Shoda hmotnosti"/>
    <x:tableColumn id="12" name="2D výstup"/>
    <x:tableColumn id="13" name="3D ve zdroji"/>
    <x:tableColumn id="14" name="3D výstup"/>
    <x:tableColumn id="15" name="Shoda názvu souboru"/>
    <x:tableColumn id="16" name="Poznámka"/>
    <x:tableColumn id="17" name="Celkový stav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fa20a199346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5fd046fa47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652e99247649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1c49d26f6540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26" hidden="0" customWidth="1"/>
    <x:col min="4" max="4" width="44" hidden="0" customWidth="1"/>
    <x:col min="5" max="5" width="21" hidden="0" customWidth="1"/>
    <x:col min="6" max="6" width="38" hidden="0" customWidth="1"/>
    <x:col min="7" max="7" width="18" hidden="0" customWidth="1"/>
    <x:col min="8" max="8" width="14" hidden="0" customWidth="1"/>
    <x:col min="9" max="9" width="15" hidden="0" customWidth="1"/>
    <x:col min="10" max="10" width="13" hidden="0" customWidth="1"/>
    <x:col min="11" max="11" width="18" hidden="0" customWidth="1"/>
    <x:col min="12" max="12" width="20" hidden="0" customWidth="1"/>
    <x:col min="13" max="13" width="20" hidden="0" customWidth="1"/>
    <x:col min="14" max="14" width="32" hidden="0" customWidth="1"/>
    <x:col min="15" max="15" width="52" hidden="0" customWidth="1"/>
  </x:cols>
  <x:sheetData>
    <x:row r="1" ht="34" customHeight="1">
      <x:c r="A1" s="4" t="str">
        <x:v>Katalog skladeb a panelů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4" customHeight="1">
      <x:c r="A2" s="8" t="str">
        <x:v>Zdroj: KATALOG DETAILU skladby.pdf, 10 stran. Navržené uživatelské názvy jsou unikátní; technické hodnoty a symboly X / - jsou zachovány podle zdroje.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0" customHeight="1">
      <x:c r="A3" s="12" t="str">
        <x:v>Počet skladeb</x:v>
      </x:c>
      <x:c r="B3" s="12"/>
      <x:c r="C3" s="15" t="n">
        <x:v>10</x:v>
      </x:c>
      <x:c r="D3" s="19" t="str">
        <x:v>Počet vrstev</x:v>
      </x:c>
      <x:c r="E3" s="19"/>
      <x:c r="F3" s="22" t="n">
        <x:v>96</x:v>
      </x:c>
      <x:c r="G3" s="26" t="str">
        <x:v>Celkem 2D výstupů</x:v>
      </x:c>
      <x:c r="H3" s="26"/>
      <x:c r="I3" s="29" t="n">
        <x:v>10</x:v>
      </x:c>
      <x:c r="J3" s="12" t="str">
        <x:v>3D ve zdroji</x:v>
      </x:c>
      <x:c r="K3" s="12"/>
      <x:c r="L3" s="15" t="n">
        <x:v>8</x:v>
      </x:c>
      <x:c r="M3" s="33" t="str">
        <x:v>3D chybí ve zdroji</x:v>
      </x:c>
      <x:c r="N3" s="33"/>
      <x:c r="O3" s="36" t="n">
        <x:v>2</x:v>
      </x:c>
    </x:row>
    <x:row r="5" ht="38" customHeight="1">
      <x:c r="A5" s="52" t="str">
        <x:v>Pořadí</x:v>
      </x:c>
      <x:c r="B5" s="52" t="str">
        <x:v>Kód katalogu</x:v>
      </x:c>
      <x:c r="C5" s="52" t="str">
        <x:v>Zdrojový název</x:v>
      </x:c>
      <x:c r="D5" s="52" t="str">
        <x:v>Navržený uživatelský název</x:v>
      </x:c>
      <x:c r="E5" s="52" t="str">
        <x:v>Typ konstrukce</x:v>
      </x:c>
      <x:c r="F5" s="52" t="str">
        <x:v>Popis skladby ve zdroji</x:v>
      </x:c>
      <x:c r="G5" s="52" t="str">
        <x:v>Směr vrstev</x:v>
      </x:c>
      <x:c r="H5" s="52" t="str">
        <x:v>Celková tloušťka [mm]</x:v>
      </x:c>
      <x:c r="I5" s="52" t="str">
        <x:v>Celková hmotnost [kg/m²]</x:v>
      </x:c>
      <x:c r="J5" s="52" t="str">
        <x:v>U [W/(m²·K)]</x:v>
      </x:c>
      <x:c r="K5" s="52" t="str">
        <x:v>Požární odolnost</x:v>
      </x:c>
      <x:c r="L5" s="52" t="str">
        <x:v>Zvuková izolace</x:v>
      </x:c>
      <x:c r="M5" s="52" t="str">
        <x:v>Poznámka konstrukce</x:v>
      </x:c>
      <x:c r="N5" s="52" t="str">
        <x:v>Varianty / doplňující údaj</x:v>
      </x:c>
      <x:c r="O5" s="52" t="str">
        <x:v>Kontrolní poznámka</x:v>
      </x:c>
    </x:row>
    <x:row r="6" ht="60" customHeight="1">
      <x:c r="A6" s="62" t="n">
        <x:v>1</x:v>
      </x:c>
      <x:c r="B6" s="62" t="str">
        <x:v>1.1</x:v>
      </x:c>
      <x:c r="C6" s="44" t="str">
        <x:v>OBVODOVÝ PANEL OS VF 01</x:v>
      </x:c>
      <x:c r="D6" s="44" t="str">
        <x:v>Obvodový stěnový panel s kontaktním zateplením a omítkovou fasádou</x:v>
      </x:c>
      <x:c r="E6" s="44" t="str">
        <x:v>Obvodová stěna</x:v>
      </x:c>
      <x:c r="F6" s="44" t="str">
        <x:v>Stěnový panel s kontaktním zateplením</x:v>
      </x:c>
      <x:c r="G6" s="44" t="str">
        <x:v>INTERIÉR → EXTERIÉR</x:v>
      </x:c>
      <x:c r="H6" s="56" t="n">
        <x:v>358.5</x:v>
      </x:c>
      <x:c r="I6" s="56" t="n">
        <x:v>77.2</x:v>
      </x:c>
      <x:c r="J6" s="59" t="n">
        <x:v>0.15</x:v>
      </x:c>
      <x:c r="K6" s="44" t="str">
        <x:v>60/45 -</x:v>
      </x:c>
      <x:c r="L6" s="44" t="str">
        <x:v>52 (-3, -10) dB</x:v>
      </x:c>
      <x:c r="M6" s="44" t="str"/>
      <x:c r="N6" s="44" t="str"/>
      <x:c r="O6" s="68" t="str"/>
    </x:row>
    <x:row r="7" ht="60" customHeight="1">
      <x:c r="A7" s="63" t="n">
        <x:v>2</x:v>
      </x:c>
      <x:c r="B7" s="63" t="str">
        <x:v>1.2</x:v>
      </x:c>
      <x:c r="C7" s="45" t="str">
        <x:v>OBVODOVÝ PANEL OS VF 02</x:v>
      </x:c>
      <x:c r="D7" s="45" t="str">
        <x:v>Obvodový stěnový panel s provětrávanou dřevěnou fasádou</x:v>
      </x:c>
      <x:c r="E7" s="45" t="str">
        <x:v>Obvodová stěna</x:v>
      </x:c>
      <x:c r="F7" s="45" t="str">
        <x:v>Stěnový panel s provětrávanou fasádou</x:v>
      </x:c>
      <x:c r="G7" s="45" t="str">
        <x:v>INTERIÉR → EXTERIÉR</x:v>
      </x:c>
      <x:c r="H7" s="57" t="n">
        <x:v>431</x:v>
      </x:c>
      <x:c r="I7" s="57" t="n">
        <x:v>85.2</x:v>
      </x:c>
      <x:c r="J7" s="60" t="n">
        <x:v>0.15</x:v>
      </x:c>
      <x:c r="K7" s="45" t="str">
        <x:v>60/45 -</x:v>
      </x:c>
      <x:c r="L7" s="45" t="str">
        <x:v>52 (-3, -10) dB</x:v>
      </x:c>
      <x:c r="M7" s="45" t="str"/>
      <x:c r="N7" s="45" t="str"/>
      <x:c r="O7" s="69" t="str"/>
    </x:row>
    <x:row r="8" ht="60" customHeight="1">
      <x:c r="A8" s="63" t="n">
        <x:v>3</x:v>
      </x:c>
      <x:c r="B8" s="63" t="str">
        <x:v>1.3</x:v>
      </x:c>
      <x:c r="C8" s="45" t="str">
        <x:v>OBVODOVÝ PANEL OS VF 03</x:v>
      </x:c>
      <x:c r="D8" s="45" t="str">
        <x:v>Obvodový stěnový panel DP1 s ocelovým rámem a omítkovou fasádou</x:v>
      </x:c>
      <x:c r="E8" s="45" t="str">
        <x:v>Obvodová stěna</x:v>
      </x:c>
      <x:c r="F8" s="45" t="str">
        <x:v>Stěnový panel s provětrávanou fasádou</x:v>
      </x:c>
      <x:c r="G8" s="45" t="str">
        <x:v>INTERIÉR → EXTERIÉR</x:v>
      </x:c>
      <x:c r="H8" s="57" t="n">
        <x:v>368.5</x:v>
      </x:c>
      <x:c r="I8" s="57" t="n">
        <x:v>107.4</x:v>
      </x:c>
      <x:c r="J8" s="60" t="str">
        <x:v>-</x:v>
      </x:c>
      <x:c r="K8" s="45" t="str">
        <x:v>- -</x:v>
      </x:c>
      <x:c r="L8" s="45" t="str">
        <x:v>- dB</x:v>
      </x:c>
      <x:c r="M8" s="45" t="str"/>
      <x:c r="N8" s="45" t="str"/>
      <x:c r="O8" s="69" t="str">
        <x:v>Ve zdroji je plocha 3D pohledu prázdná. Popis skladby uvádí provětrávanou fasádu, ale název výkresu a vrstvy odpovídají omítkovému kontaktnímu systému.</x:v>
      </x:c>
    </x:row>
    <x:row r="9" ht="60" customHeight="1">
      <x:c r="A9" s="63" t="n">
        <x:v>4</x:v>
      </x:c>
      <x:c r="B9" s="63" t="str">
        <x:v>2.1</x:v>
      </x:c>
      <x:c r="C9" s="45" t="str">
        <x:v>VNITŘNÍ NOSNÝ PANEL NS VF 01</x:v>
      </x:c>
      <x:c r="D9" s="45" t="str">
        <x:v>Vnitřní nosný stěnový panel s KVH rámem 120 mm</x:v>
      </x:c>
      <x:c r="E9" s="45" t="str">
        <x:v>Vnitřní nosná stěna</x:v>
      </x:c>
      <x:c r="F9" s="45" t="str">
        <x:v>Stěnový panel vnitřní stěny 170mm</x:v>
      </x:c>
      <x:c r="G9" s="45" t="str">
        <x:v>INTERIÉR → INTERIÉR</x:v>
      </x:c>
      <x:c r="H9" s="57" t="n">
        <x:v>170</x:v>
      </x:c>
      <x:c r="I9" s="57" t="n">
        <x:v>56.4</x:v>
      </x:c>
      <x:c r="J9" s="60" t="str"/>
      <x:c r="K9" s="45" t="str">
        <x:v>60 -</x:v>
      </x:c>
      <x:c r="L9" s="45" t="str">
        <x:v>43 (-1, -5) dB</x:v>
      </x:c>
      <x:c r="M9" s="45" t="str"/>
      <x:c r="N9" s="45" t="str">
        <x:v>Varianty šířky KVH rámu: 80mm, 100mm, 120mm, 160mm</x:v>
      </x:c>
      <x:c r="O9" s="69" t="str"/>
    </x:row>
    <x:row r="10" ht="60" customHeight="1">
      <x:c r="A10" s="63" t="n">
        <x:v>5</x:v>
      </x:c>
      <x:c r="B10" s="63" t="str">
        <x:v>2.2</x:v>
      </x:c>
      <x:c r="C10" s="45" t="str">
        <x:v>ZVUKOVĚ A POŽÁRNĚ DĚLICÍ STĚNA DS VF 01</x:v>
      </x:c>
      <x:c r="D10" s="45" t="str">
        <x:v>Vnitřní akustická a požárně dělicí dvojitá stěna 2×120 mm</x:v>
      </x:c>
      <x:c r="E10" s="45" t="str">
        <x:v>Vnitřní dělicí stěna</x:v>
      </x:c>
      <x:c r="F10" s="45" t="str">
        <x:v>Dělicí stěna mezi byty</x:v>
      </x:c>
      <x:c r="G10" s="45" t="str">
        <x:v>INTERIÉR → INTERIÉR</x:v>
      </x:c>
      <x:c r="H10" s="57" t="n">
        <x:v>300</x:v>
      </x:c>
      <x:c r="I10" s="57" t="n">
        <x:v>64.4</x:v>
      </x:c>
      <x:c r="J10" s="60" t="str">
        <x:v>-</x:v>
      </x:c>
      <x:c r="K10" s="45" t="str">
        <x:v>- -</x:v>
      </x:c>
      <x:c r="L10" s="45" t="str">
        <x:v>- dB</x:v>
      </x:c>
      <x:c r="M10" s="45" t="str"/>
      <x:c r="N10" s="45" t="str"/>
      <x:c r="O10" s="69" t="str"/>
    </x:row>
    <x:row r="11" ht="60" customHeight="1">
      <x:c r="A11" s="63" t="n">
        <x:v>6</x:v>
      </x:c>
      <x:c r="B11" s="63" t="str">
        <x:v>3.1</x:v>
      </x:c>
      <x:c r="C11" s="45" t="str">
        <x:v>PODLAHA 1. NP</x:v>
      </x:c>
      <x:c r="D11" s="45" t="str">
        <x:v>Podlahová skladba nad základy s teplovodním vytápěním</x:v>
      </x:c>
      <x:c r="E11" s="45" t="str">
        <x:v>Podlaha nad základy</x:v>
      </x:c>
      <x:c r="F11" s="45" t="str">
        <x:v>Podlahové souvrství s teplovodním vytápěním</x:v>
      </x:c>
      <x:c r="G11" s="45" t="str">
        <x:v>INTERIÉR → EXTERIÉR</x:v>
      </x:c>
      <x:c r="H11" s="57" t="n">
        <x:v>220.1</x:v>
      </x:c>
      <x:c r="I11" s="57" t="n">
        <x:v>60.6</x:v>
      </x:c>
      <x:c r="J11" s="60" t="str"/>
      <x:c r="K11" s="45" t="str"/>
      <x:c r="L11" s="45" t="str"/>
      <x:c r="M11" s="45" t="str"/>
      <x:c r="N11" s="45" t="str"/>
      <x:c r="O11" s="69" t="str">
        <x:v>Zdroj neobsahuje samostatnou tabulku Vlastnosti konstrukce.</x:v>
      </x:c>
    </x:row>
    <x:row r="12" ht="60" customHeight="1">
      <x:c r="A12" s="63" t="n">
        <x:v>7</x:v>
      </x:c>
      <x:c r="B12" s="63" t="str">
        <x:v>4.1</x:v>
      </x:c>
      <x:c r="C12" s="45" t="str">
        <x:v>STROP - RODINNÉ DOMY</x:v>
      </x:c>
      <x:c r="D12" s="45" t="str">
        <x:v>Stropní panel rodinného domu s podlahovým vytápěním</x:v>
      </x:c>
      <x:c r="E12" s="45" t="str">
        <x:v>Strop a podlaha 2. NP</x:v>
      </x:c>
      <x:c r="F12" s="45" t="str">
        <x:v>Stropní skladba rodinný dům</x:v>
      </x:c>
      <x:c r="G12" s="45" t="str">
        <x:v>INTERIÉR → INTERIÉR</x:v>
      </x:c>
      <x:c r="H12" s="57" t="n">
        <x:v>432</x:v>
      </x:c>
      <x:c r="I12" s="57" t="n">
        <x:v>100</x:v>
      </x:c>
      <x:c r="J12" s="60" t="str"/>
      <x:c r="K12" s="45" t="str"/>
      <x:c r="L12" s="45" t="str"/>
      <x:c r="M12" s="45" t="str"/>
      <x:c r="N12" s="45" t="str"/>
      <x:c r="O12" s="69" t="str">
        <x:v>Zdroj neobsahuje samostatnou tabulku Vlastnosti konstrukce.</x:v>
      </x:c>
    </x:row>
    <x:row r="13" ht="60" customHeight="1">
      <x:c r="A13" s="63" t="n">
        <x:v>8</x:v>
      </x:c>
      <x:c r="B13" s="63" t="str">
        <x:v>4.2</x:v>
      </x:c>
      <x:c r="C13" s="45" t="str">
        <x:v>STROP - BYTOVÉ DOMY</x:v>
      </x:c>
      <x:c r="D13" s="45" t="str">
        <x:v>Akustický stropní panel bytového domu s podlahovým vytápěním</x:v>
      </x:c>
      <x:c r="E13" s="45" t="str">
        <x:v>Strop a podlaha 2. NP</x:v>
      </x:c>
      <x:c r="F13" s="45" t="str">
        <x:v>Stropní skladba bytový dům</x:v>
      </x:c>
      <x:c r="G13" s="45" t="str">
        <x:v>INTERIÉR → INTERIÉR</x:v>
      </x:c>
      <x:c r="H13" s="57" t="n">
        <x:v>492</x:v>
      </x:c>
      <x:c r="I13" s="57" t="n">
        <x:v>163.2</x:v>
      </x:c>
      <x:c r="J13" s="60" t="str"/>
      <x:c r="K13" s="45" t="str"/>
      <x:c r="L13" s="45" t="str"/>
      <x:c r="M13" s="45" t="str"/>
      <x:c r="N13" s="45" t="str"/>
      <x:c r="O13" s="69" t="str">
        <x:v>Ve zdroji je plocha 3D pohledu prázdná. Zdroj neobsahuje samostatnou tabulku Vlastnosti konstrukce.</x:v>
      </x:c>
    </x:row>
    <x:row r="14" ht="60" customHeight="1">
      <x:c r="A14" s="63" t="n">
        <x:v>9</x:v>
      </x:c>
      <x:c r="B14" s="63" t="str">
        <x:v>5.1</x:v>
      </x:c>
      <x:c r="C14" s="45" t="str">
        <x:v>KONSTRUKCE ŠIKMÉ STŘECHY</x:v>
      </x:c>
      <x:c r="D14" s="45" t="str">
        <x:v>Střešní panel pro šikmou střechu s rámem 300 mm</x:v>
      </x:c>
      <x:c r="E14" s="45" t="str">
        <x:v>Šikmá střecha</x:v>
      </x:c>
      <x:c r="F14" s="45" t="str">
        <x:v>Střešní panel pro sedlové střechy</x:v>
      </x:c>
      <x:c r="G14" s="45" t="str">
        <x:v>EXTERIÉR → INTERIÉR</x:v>
      </x:c>
      <x:c r="H14" s="57" t="n">
        <x:v>455</x:v>
      </x:c>
      <x:c r="I14" s="57" t="n">
        <x:v>57.6</x:v>
      </x:c>
      <x:c r="J14" s="60" t="n">
        <x:v>0.13</x:v>
      </x:c>
      <x:c r="K14" s="45" t="str">
        <x:v>-</x:v>
      </x:c>
      <x:c r="L14" s="45" t="str"/>
      <x:c r="M14" s="45" t="str"/>
      <x:c r="N14" s="45" t="str"/>
      <x:c r="O14" s="69" t="str"/>
    </x:row>
    <x:row r="15" ht="60" customHeight="1">
      <x:c r="A15" s="64" t="n">
        <x:v>10</x:v>
      </x:c>
      <x:c r="B15" s="64" t="str">
        <x:v>5.2</x:v>
      </x:c>
      <x:c r="C15" s="46" t="str">
        <x:v>KONSTRUKCE PLOCHÉ STŘECHY</x:v>
      </x:c>
      <x:c r="D15" s="46" t="str">
        <x:v>Střešní panel pro plochou střechu s EPS izolací a rámem 240 mm</x:v>
      </x:c>
      <x:c r="E15" s="46" t="str">
        <x:v>Plochá střecha</x:v>
      </x:c>
      <x:c r="F15" s="46" t="str">
        <x:v>Střešní panel pro ploché střechy</x:v>
      </x:c>
      <x:c r="G15" s="46" t="str">
        <x:v>EXTERIÉR → INTERIÉR</x:v>
      </x:c>
      <x:c r="H15" s="58" t="n">
        <x:v>564.5</x:v>
      </x:c>
      <x:c r="I15" s="58" t="n">
        <x:v>45.9</x:v>
      </x:c>
      <x:c r="J15" s="61" t="n">
        <x:v>0.13</x:v>
      </x:c>
      <x:c r="K15" s="46" t="str">
        <x:v>-</x:v>
      </x:c>
      <x:c r="L15" s="46" t="str"/>
      <x:c r="M15" s="46" t="str"/>
      <x:c r="N15" s="46" t="str"/>
      <x:c r="O15" s="70" t="str"/>
    </x:row>
  </x:sheetData>
  <x:mergeCells>
    <x:mergeCell ref="A1:O1"/>
    <x:mergeCell ref="A2:O2"/>
    <x:mergeCell ref="A3:B3"/>
    <x:mergeCell ref="D3:E3"/>
    <x:mergeCell ref="G3:H3"/>
    <x:mergeCell ref="J3:K3"/>
    <x:mergeCell ref="M3:N3"/>
  </x:mergeCells>
  <x:pageMargins left="0.7" right="0.7" top="0.75" bottom="0.75" header="0.3" footer="0.3"/>
  <x:tableParts count="1">
    <x:tablePart xmlns:r="http://schemas.openxmlformats.org/officeDocument/2006/relationships" r:id="R559fa20a199346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8" hidden="0" customWidth="1"/>
    <x:col min="4" max="4" width="18" hidden="0" customWidth="1"/>
    <x:col min="5" max="5" width="48" hidden="0" customWidth="1"/>
    <x:col min="6" max="6" width="13" hidden="0" customWidth="1"/>
    <x:col min="7" max="7" width="15" hidden="0" customWidth="1"/>
    <x:col min="8" max="8" width="14" hidden="0" customWidth="1"/>
    <x:col min="9" max="9" width="20" hidden="0" customWidth="1"/>
    <x:col min="10" max="10" width="11" hidden="0" customWidth="1"/>
    <x:col min="11" max="11" width="28" hidden="0" customWidth="1"/>
  </x:cols>
  <x:sheetData>
    <x:row r="1" ht="34" customHeight="1">
      <x:c r="A1" s="4" t="str">
        <x:v>Databáze vrstev skladeb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8" t="str">
        <x:v>Každý řádek odpovídá jedné vrstvě. Pořadí vrstev se řídí sloupcem „Směr skladby“. Text X a pomlčka označují hodnoty převzaté doslova ze zdroje.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30" customHeight="1">
      <x:c r="A3" s="12" t="str">
        <x:v>Skladby</x:v>
      </x:c>
      <x:c r="B3" s="12"/>
      <x:c r="C3" s="15" t="n">
        <x:v>10</x:v>
      </x:c>
      <x:c r="D3" s="19" t="str">
        <x:v>Vrstvy</x:v>
      </x:c>
      <x:c r="E3" s="19"/>
      <x:c r="F3" s="22" t="n">
        <x:v>96</x:v>
      </x:c>
      <x:c r="G3" s="26" t="str">
        <x:v>Zdrojové strany</x:v>
      </x:c>
      <x:c r="H3" s="26"/>
      <x:c r="I3" s="29" t="n">
        <x:v>10</x:v>
      </x:c>
      <x:c r="J3" s="73" t="str">
        <x:v>Zdroj: KATALOG DETAILU skladby.pdf</x:v>
      </x:c>
      <x:c r="K3" s="73"/>
    </x:row>
    <x:row r="5" ht="38" customHeight="1">
      <x:c r="A5" s="52" t="str">
        <x:v>Kód katalogu</x:v>
      </x:c>
      <x:c r="B5" s="52" t="str">
        <x:v>Navržený uživatelský název</x:v>
      </x:c>
      <x:c r="C5" s="52" t="str">
        <x:v>Vrstva</x:v>
      </x:c>
      <x:c r="D5" s="52" t="str">
        <x:v>Směr skladby</x:v>
      </x:c>
      <x:c r="E5" s="52" t="str">
        <x:v>Popis vrstvy</x:v>
      </x:c>
      <x:c r="F5" s="52" t="str">
        <x:v>Tloušťka [mm]</x:v>
      </x:c>
      <x:c r="G5" s="52" t="str">
        <x:v>Hmotnost [kg/m²]</x:v>
      </x:c>
      <x:c r="H5" s="52" t="str">
        <x:v>λ [W/(m·K)]</x:v>
      </x:c>
      <x:c r="I5" s="52" t="str">
        <x:v>Třída reakce na oheň</x:v>
      </x:c>
      <x:c r="J5" s="52" t="str">
        <x:v>Strana PDF</x:v>
      </x:c>
      <x:c r="K5" s="52" t="str">
        <x:v>Zdrojový soubor</x:v>
      </x:c>
    </x:row>
    <x:row r="6" ht="30" customHeight="1">
      <x:c r="A6" s="62" t="str">
        <x:v>1.1</x:v>
      </x:c>
      <x:c r="B6" s="62" t="str">
        <x:v>Obvodový stěnový panel s kontaktním zateplením a omítkovou fasádou</x:v>
      </x:c>
      <x:c r="C6" s="62" t="n">
        <x:v>1</x:v>
      </x:c>
      <x:c r="D6" s="62" t="str">
        <x:v>INTERIÉR → EXTERIÉR</x:v>
      </x:c>
      <x:c r="E6" s="44" t="str">
        <x:v>sádrokartonová deska 12,5 mm</x:v>
      </x:c>
      <x:c r="F6" s="56" t="n">
        <x:v>12</x:v>
      </x:c>
      <x:c r="G6" s="56" t="n">
        <x:v>9.2</x:v>
      </x:c>
      <x:c r="H6" s="74" t="n">
        <x:v>0.21</x:v>
      </x:c>
      <x:c r="I6" s="53" t="str">
        <x:v>A2</x:v>
      </x:c>
      <x:c r="J6" s="53" t="n">
        <x:v>1</x:v>
      </x:c>
      <x:c r="K6" s="44" t="str">
        <x:v>KATALOG DETAILU skladby.pdf</x:v>
      </x:c>
    </x:row>
    <x:row r="7" ht="30" customHeight="1">
      <x:c r="A7" s="63" t="str">
        <x:v>1.1</x:v>
      </x:c>
      <x:c r="B7" s="63" t="str">
        <x:v>Obvodový stěnový panel s kontaktním zateplením a omítkovou fasádou</x:v>
      </x:c>
      <x:c r="C7" s="63" t="n">
        <x:v>2</x:v>
      </x:c>
      <x:c r="D7" s="63" t="str">
        <x:v>INTERIÉR → EXTERIÉR</x:v>
      </x:c>
      <x:c r="E7" s="45" t="str">
        <x:v>sádrovláknitá deska Fermacell 12,5mm</x:v>
      </x:c>
      <x:c r="F7" s="57" t="n">
        <x:v>13</x:v>
      </x:c>
      <x:c r="G7" s="57" t="n">
        <x:v>15</x:v>
      </x:c>
      <x:c r="H7" s="75" t="n">
        <x:v>0.32</x:v>
      </x:c>
      <x:c r="I7" s="54" t="str">
        <x:v>A2</x:v>
      </x:c>
      <x:c r="J7" s="54" t="n">
        <x:v>1</x:v>
      </x:c>
      <x:c r="K7" s="45" t="str">
        <x:v>KATALOG DETAILU skladby.pdf</x:v>
      </x:c>
    </x:row>
    <x:row r="8" ht="30" customHeight="1">
      <x:c r="A8" s="63" t="str">
        <x:v>1.1</x:v>
      </x:c>
      <x:c r="B8" s="63" t="str">
        <x:v>Obvodový stěnový panel s kontaktním zateplením a omítkovou fasádou</x:v>
      </x:c>
      <x:c r="C8" s="63" t="n">
        <x:v>3</x:v>
      </x:c>
      <x:c r="D8" s="63" t="str">
        <x:v>INTERIÉR → EXTERIÉR</x:v>
      </x:c>
      <x:c r="E8" s="45" t="str">
        <x:v>instalační předstěna z latí 60/40 mm</x:v>
      </x:c>
      <x:c r="F8" s="57" t="n">
        <x:v>40</x:v>
      </x:c>
      <x:c r="G8" s="57" t="n">
        <x:v>2</x:v>
      </x:c>
      <x:c r="H8" s="75" t="n">
        <x:v>0.18</x:v>
      </x:c>
      <x:c r="I8" s="54" t="str">
        <x:v>C3</x:v>
      </x:c>
      <x:c r="J8" s="54" t="n">
        <x:v>1</x:v>
      </x:c>
      <x:c r="K8" s="45" t="str">
        <x:v>KATALOG DETAILU skladby.pdf</x:v>
      </x:c>
    </x:row>
    <x:row r="9" ht="30" customHeight="1">
      <x:c r="A9" s="63" t="str">
        <x:v>1.1</x:v>
      </x:c>
      <x:c r="B9" s="63" t="str">
        <x:v>Obvodový stěnový panel s kontaktním zateplením a omítkovou fasádou</x:v>
      </x:c>
      <x:c r="C9" s="63" t="n">
        <x:v>4</x:v>
      </x:c>
      <x:c r="D9" s="63" t="str">
        <x:v>INTERIÉR → EXTERIÉR</x:v>
      </x:c>
      <x:c r="E9" s="45" t="str">
        <x:v>minerální izolace na tlouštku rámu</x:v>
      </x:c>
      <x:c r="F9" s="57" t="str">
        <x:v>-</x:v>
      </x:c>
      <x:c r="G9" s="57" t="str">
        <x:v>-</x:v>
      </x:c>
      <x:c r="H9" s="75" t="n">
        <x:v>0.035</x:v>
      </x:c>
      <x:c r="I9" s="54" t="str">
        <x:v>A1</x:v>
      </x:c>
      <x:c r="J9" s="54" t="n">
        <x:v>1</x:v>
      </x:c>
      <x:c r="K9" s="45" t="str">
        <x:v>KATALOG DETAILU skladby.pdf</x:v>
      </x:c>
    </x:row>
    <x:row r="10" ht="30" customHeight="1">
      <x:c r="A10" s="63" t="str">
        <x:v>1.1</x:v>
      </x:c>
      <x:c r="B10" s="63" t="str">
        <x:v>Obvodový stěnový panel s kontaktním zateplením a omítkovou fasádou</x:v>
      </x:c>
      <x:c r="C10" s="63" t="n">
        <x:v>5</x:v>
      </x:c>
      <x:c r="D10" s="63" t="str">
        <x:v>INTERIÉR → EXTERIÉR</x:v>
      </x:c>
      <x:c r="E10" s="45" t="str">
        <x:v>sádrovláknitá deska Fermacell 12,5mm</x:v>
      </x:c>
      <x:c r="F10" s="57" t="n">
        <x:v>13</x:v>
      </x:c>
      <x:c r="G10" s="57" t="n">
        <x:v>15</x:v>
      </x:c>
      <x:c r="H10" s="75" t="n">
        <x:v>0.32</x:v>
      </x:c>
      <x:c r="I10" s="54" t="str">
        <x:v>A2</x:v>
      </x:c>
      <x:c r="J10" s="54" t="n">
        <x:v>1</x:v>
      </x:c>
      <x:c r="K10" s="45" t="str">
        <x:v>KATALOG DETAILU skladby.pdf</x:v>
      </x:c>
    </x:row>
    <x:row r="11" ht="30" customHeight="1">
      <x:c r="A11" s="63" t="str">
        <x:v>1.1</x:v>
      </x:c>
      <x:c r="B11" s="63" t="str">
        <x:v>Obvodový stěnový panel s kontaktním zateplením a omítkovou fasádou</x:v>
      </x:c>
      <x:c r="C11" s="63" t="n">
        <x:v>6</x:v>
      </x:c>
      <x:c r="D11" s="63" t="str">
        <x:v>INTERIÉR → EXTERIÉR</x:v>
      </x:c>
      <x:c r="E11" s="45" t="str">
        <x:v>parozábrana</x:v>
      </x:c>
      <x:c r="F11" s="57" t="n">
        <x:v>0.5</x:v>
      </x:c>
      <x:c r="G11" s="57" t="n">
        <x:v>1</x:v>
      </x:c>
      <x:c r="H11" s="75" t="str">
        <x:v>X</x:v>
      </x:c>
      <x:c r="I11" s="54" t="str">
        <x:v>X</x:v>
      </x:c>
      <x:c r="J11" s="54" t="n">
        <x:v>1</x:v>
      </x:c>
      <x:c r="K11" s="45" t="str">
        <x:v>KATALOG DETAILU skladby.pdf</x:v>
      </x:c>
    </x:row>
    <x:row r="12" ht="30" customHeight="1">
      <x:c r="A12" s="63" t="str">
        <x:v>1.1</x:v>
      </x:c>
      <x:c r="B12" s="63" t="str">
        <x:v>Obvodový stěnový panel s kontaktním zateplením a omítkovou fasádou</x:v>
      </x:c>
      <x:c r="C12" s="63" t="n">
        <x:v>7</x:v>
      </x:c>
      <x:c r="D12" s="63" t="str">
        <x:v>INTERIÉR → EXTERIÉR</x:v>
      </x:c>
      <x:c r="E12" s="45" t="str">
        <x:v>KVH 60/160mm</x:v>
      </x:c>
      <x:c r="F12" s="57" t="n">
        <x:v>160</x:v>
      </x:c>
      <x:c r="G12" s="57" t="n">
        <x:v>10</x:v>
      </x:c>
      <x:c r="H12" s="75" t="n">
        <x:v>0.18</x:v>
      </x:c>
      <x:c r="I12" s="54" t="str">
        <x:v>C3</x:v>
      </x:c>
      <x:c r="J12" s="54" t="n">
        <x:v>1</x:v>
      </x:c>
      <x:c r="K12" s="45" t="str">
        <x:v>KATALOG DETAILU skladby.pdf</x:v>
      </x:c>
    </x:row>
    <x:row r="13" ht="30" customHeight="1">
      <x:c r="A13" s="63" t="str">
        <x:v>1.1</x:v>
      </x:c>
      <x:c r="B13" s="63" t="str">
        <x:v>Obvodový stěnový panel s kontaktním zateplením a omítkovou fasádou</x:v>
      </x:c>
      <x:c r="C13" s="63" t="n">
        <x:v>8</x:v>
      </x:c>
      <x:c r="D13" s="63" t="str">
        <x:v>INTERIÉR → EXTERIÉR</x:v>
      </x:c>
      <x:c r="E13" s="45" t="str">
        <x:v>minerální izolace na tlouštku rámu</x:v>
      </x:c>
      <x:c r="F13" s="57" t="str">
        <x:v>-</x:v>
      </x:c>
      <x:c r="G13" s="57" t="str">
        <x:v>-</x:v>
      </x:c>
      <x:c r="H13" s="75" t="n">
        <x:v>0.035</x:v>
      </x:c>
      <x:c r="I13" s="54" t="str">
        <x:v>A1</x:v>
      </x:c>
      <x:c r="J13" s="54" t="n">
        <x:v>1</x:v>
      </x:c>
      <x:c r="K13" s="45" t="str">
        <x:v>KATALOG DETAILU skladby.pdf</x:v>
      </x:c>
    </x:row>
    <x:row r="14" ht="30" customHeight="1">
      <x:c r="A14" s="63" t="str">
        <x:v>1.1</x:v>
      </x:c>
      <x:c r="B14" s="63" t="str">
        <x:v>Obvodový stěnový panel s kontaktním zateplením a omítkovou fasádou</x:v>
      </x:c>
      <x:c r="C14" s="63" t="n">
        <x:v>9</x:v>
      </x:c>
      <x:c r="D14" s="63" t="str">
        <x:v>INTERIÉR → EXTERIÉR</x:v>
      </x:c>
      <x:c r="E14" s="45" t="str">
        <x:v>sádrovláknitá deska Fermacell 12,5mm</x:v>
      </x:c>
      <x:c r="F14" s="57" t="n">
        <x:v>13</x:v>
      </x:c>
      <x:c r="G14" s="57" t="n">
        <x:v>15</x:v>
      </x:c>
      <x:c r="H14" s="75" t="n">
        <x:v>0.32</x:v>
      </x:c>
      <x:c r="I14" s="54" t="str">
        <x:v>A2</x:v>
      </x:c>
      <x:c r="J14" s="54" t="n">
        <x:v>1</x:v>
      </x:c>
      <x:c r="K14" s="45" t="str">
        <x:v>KATALOG DETAILU skladby.pdf</x:v>
      </x:c>
    </x:row>
    <x:row r="15" ht="30" customHeight="1">
      <x:c r="A15" s="63" t="str">
        <x:v>1.1</x:v>
      </x:c>
      <x:c r="B15" s="63" t="str">
        <x:v>Obvodový stěnový panel s kontaktním zateplením a omítkovou fasádou</x:v>
      </x:c>
      <x:c r="C15" s="63" t="n">
        <x:v>10</x:v>
      </x:c>
      <x:c r="D15" s="63" t="str">
        <x:v>INTERIÉR → EXTERIÉR</x:v>
      </x:c>
      <x:c r="E15" s="45" t="str">
        <x:v>minerální fasádní tepelná izolace 100 mm</x:v>
      </x:c>
      <x:c r="F15" s="57" t="n">
        <x:v>100</x:v>
      </x:c>
      <x:c r="G15" s="57" t="n">
        <x:v>5</x:v>
      </x:c>
      <x:c r="H15" s="75" t="n">
        <x:v>0.035</x:v>
      </x:c>
      <x:c r="I15" s="54" t="str">
        <x:v>A1</x:v>
      </x:c>
      <x:c r="J15" s="54" t="n">
        <x:v>1</x:v>
      </x:c>
      <x:c r="K15" s="45" t="str">
        <x:v>KATALOG DETAILU skladby.pdf</x:v>
      </x:c>
    </x:row>
    <x:row r="16" ht="30" customHeight="1">
      <x:c r="A16" s="63" t="str">
        <x:v>1.1</x:v>
      </x:c>
      <x:c r="B16" s="63" t="str">
        <x:v>Obvodový stěnový panel s kontaktním zateplením a omítkovou fasádou</x:v>
      </x:c>
      <x:c r="C16" s="63" t="n">
        <x:v>11</x:v>
      </x:c>
      <x:c r="D16" s="63" t="str">
        <x:v>INTERIÉR → EXTERIÉR</x:v>
      </x:c>
      <x:c r="E16" s="45" t="str">
        <x:v>fasádní stěrka s perlinkou + omítka</x:v>
      </x:c>
      <x:c r="F16" s="57" t="n">
        <x:v>7</x:v>
      </x:c>
      <x:c r="G16" s="57" t="n">
        <x:v>5</x:v>
      </x:c>
      <x:c r="H16" s="75" t="str">
        <x:v>X</x:v>
      </x:c>
      <x:c r="I16" s="54" t="str">
        <x:v>X</x:v>
      </x:c>
      <x:c r="J16" s="54" t="n">
        <x:v>1</x:v>
      </x:c>
      <x:c r="K16" s="45" t="str">
        <x:v>KATALOG DETAILU skladby.pdf</x:v>
      </x:c>
    </x:row>
    <x:row r="17" ht="30" customHeight="1">
      <x:c r="A17" s="63" t="str">
        <x:v>1.2</x:v>
      </x:c>
      <x:c r="B17" s="63" t="str">
        <x:v>Obvodový stěnový panel s provětrávanou dřevěnou fasádou</x:v>
      </x:c>
      <x:c r="C17" s="63" t="n">
        <x:v>1</x:v>
      </x:c>
      <x:c r="D17" s="63" t="str">
        <x:v>INTERIÉR → EXTERIÉR</x:v>
      </x:c>
      <x:c r="E17" s="45" t="str">
        <x:v>sádrokartonová deska 12,5 mm</x:v>
      </x:c>
      <x:c r="F17" s="57" t="n">
        <x:v>12</x:v>
      </x:c>
      <x:c r="G17" s="57" t="n">
        <x:v>9.2</x:v>
      </x:c>
      <x:c r="H17" s="75" t="n">
        <x:v>0.21</x:v>
      </x:c>
      <x:c r="I17" s="54" t="str">
        <x:v>A2</x:v>
      </x:c>
      <x:c r="J17" s="54" t="n">
        <x:v>2</x:v>
      </x:c>
      <x:c r="K17" s="45" t="str">
        <x:v>KATALOG DETAILU skladby.pdf</x:v>
      </x:c>
    </x:row>
    <x:row r="18" ht="30" customHeight="1">
      <x:c r="A18" s="63" t="str">
        <x:v>1.2</x:v>
      </x:c>
      <x:c r="B18" s="63" t="str">
        <x:v>Obvodový stěnový panel s provětrávanou dřevěnou fasádou</x:v>
      </x:c>
      <x:c r="C18" s="63" t="n">
        <x:v>2</x:v>
      </x:c>
      <x:c r="D18" s="63" t="str">
        <x:v>INTERIÉR → EXTERIÉR</x:v>
      </x:c>
      <x:c r="E18" s="45" t="str">
        <x:v>sádrovláknitá deska Fermacell 12,5mm</x:v>
      </x:c>
      <x:c r="F18" s="57" t="n">
        <x:v>13</x:v>
      </x:c>
      <x:c r="G18" s="57" t="n">
        <x:v>15</x:v>
      </x:c>
      <x:c r="H18" s="75" t="n">
        <x:v>0.32</x:v>
      </x:c>
      <x:c r="I18" s="54" t="str">
        <x:v>A2</x:v>
      </x:c>
      <x:c r="J18" s="54" t="n">
        <x:v>2</x:v>
      </x:c>
      <x:c r="K18" s="45" t="str">
        <x:v>KATALOG DETAILU skladby.pdf</x:v>
      </x:c>
    </x:row>
    <x:row r="19" ht="30" customHeight="1">
      <x:c r="A19" s="63" t="str">
        <x:v>1.2</x:v>
      </x:c>
      <x:c r="B19" s="63" t="str">
        <x:v>Obvodový stěnový panel s provětrávanou dřevěnou fasádou</x:v>
      </x:c>
      <x:c r="C19" s="63" t="n">
        <x:v>3</x:v>
      </x:c>
      <x:c r="D19" s="63" t="str">
        <x:v>INTERIÉR → EXTERIÉR</x:v>
      </x:c>
      <x:c r="E19" s="45" t="str">
        <x:v>instalační předstěna z latí 60/40 mm</x:v>
      </x:c>
      <x:c r="F19" s="57" t="n">
        <x:v>40</x:v>
      </x:c>
      <x:c r="G19" s="57" t="n">
        <x:v>2</x:v>
      </x:c>
      <x:c r="H19" s="75" t="n">
        <x:v>0.18</x:v>
      </x:c>
      <x:c r="I19" s="54" t="str">
        <x:v>C3</x:v>
      </x:c>
      <x:c r="J19" s="54" t="n">
        <x:v>2</x:v>
      </x:c>
      <x:c r="K19" s="45" t="str">
        <x:v>KATALOG DETAILU skladby.pdf</x:v>
      </x:c>
    </x:row>
    <x:row r="20" ht="30" customHeight="1">
      <x:c r="A20" s="63" t="str">
        <x:v>1.2</x:v>
      </x:c>
      <x:c r="B20" s="63" t="str">
        <x:v>Obvodový stěnový panel s provětrávanou dřevěnou fasádou</x:v>
      </x:c>
      <x:c r="C20" s="63" t="n">
        <x:v>4</x:v>
      </x:c>
      <x:c r="D20" s="63" t="str">
        <x:v>INTERIÉR → EXTERIÉR</x:v>
      </x:c>
      <x:c r="E20" s="45" t="str">
        <x:v>minerální izolace na tlouštku rámu</x:v>
      </x:c>
      <x:c r="F20" s="57" t="str">
        <x:v>-</x:v>
      </x:c>
      <x:c r="G20" s="57" t="str">
        <x:v>-</x:v>
      </x:c>
      <x:c r="H20" s="75" t="n">
        <x:v>0.035</x:v>
      </x:c>
      <x:c r="I20" s="54" t="str">
        <x:v>A1</x:v>
      </x:c>
      <x:c r="J20" s="54" t="n">
        <x:v>2</x:v>
      </x:c>
      <x:c r="K20" s="45" t="str">
        <x:v>KATALOG DETAILU skladby.pdf</x:v>
      </x:c>
    </x:row>
    <x:row r="21" ht="30" customHeight="1">
      <x:c r="A21" s="63" t="str">
        <x:v>1.2</x:v>
      </x:c>
      <x:c r="B21" s="63" t="str">
        <x:v>Obvodový stěnový panel s provětrávanou dřevěnou fasádou</x:v>
      </x:c>
      <x:c r="C21" s="63" t="n">
        <x:v>5</x:v>
      </x:c>
      <x:c r="D21" s="63" t="str">
        <x:v>INTERIÉR → EXTERIÉR</x:v>
      </x:c>
      <x:c r="E21" s="45" t="str">
        <x:v>sádrovláknitá deska Fermacell 12,5mm</x:v>
      </x:c>
      <x:c r="F21" s="57" t="n">
        <x:v>13</x:v>
      </x:c>
      <x:c r="G21" s="57" t="n">
        <x:v>15</x:v>
      </x:c>
      <x:c r="H21" s="75" t="n">
        <x:v>0.32</x:v>
      </x:c>
      <x:c r="I21" s="54" t="str">
        <x:v>A2</x:v>
      </x:c>
      <x:c r="J21" s="54" t="n">
        <x:v>2</x:v>
      </x:c>
      <x:c r="K21" s="45" t="str">
        <x:v>KATALOG DETAILU skladby.pdf</x:v>
      </x:c>
    </x:row>
    <x:row r="22" ht="30" customHeight="1">
      <x:c r="A22" s="63" t="str">
        <x:v>1.2</x:v>
      </x:c>
      <x:c r="B22" s="63" t="str">
        <x:v>Obvodový stěnový panel s provětrávanou dřevěnou fasádou</x:v>
      </x:c>
      <x:c r="C22" s="63" t="n">
        <x:v>6</x:v>
      </x:c>
      <x:c r="D22" s="63" t="str">
        <x:v>INTERIÉR → EXTERIÉR</x:v>
      </x:c>
      <x:c r="E22" s="45" t="str">
        <x:v>parozábrana</x:v>
      </x:c>
      <x:c r="F22" s="57" t="n">
        <x:v>0.5</x:v>
      </x:c>
      <x:c r="G22" s="57" t="n">
        <x:v>1</x:v>
      </x:c>
      <x:c r="H22" s="75" t="str">
        <x:v>X</x:v>
      </x:c>
      <x:c r="I22" s="54" t="str">
        <x:v>X</x:v>
      </x:c>
      <x:c r="J22" s="54" t="n">
        <x:v>2</x:v>
      </x:c>
      <x:c r="K22" s="45" t="str">
        <x:v>KATALOG DETAILU skladby.pdf</x:v>
      </x:c>
    </x:row>
    <x:row r="23" ht="30" customHeight="1">
      <x:c r="A23" s="63" t="str">
        <x:v>1.2</x:v>
      </x:c>
      <x:c r="B23" s="63" t="str">
        <x:v>Obvodový stěnový panel s provětrávanou dřevěnou fasádou</x:v>
      </x:c>
      <x:c r="C23" s="63" t="n">
        <x:v>7</x:v>
      </x:c>
      <x:c r="D23" s="63" t="str">
        <x:v>INTERIÉR → EXTERIÉR</x:v>
      </x:c>
      <x:c r="E23" s="45" t="str">
        <x:v>KVH 60/240mm</x:v>
      </x:c>
      <x:c r="F23" s="57" t="n">
        <x:v>240</x:v>
      </x:c>
      <x:c r="G23" s="57" t="n">
        <x:v>13</x:v>
      </x:c>
      <x:c r="H23" s="75" t="n">
        <x:v>0.18</x:v>
      </x:c>
      <x:c r="I23" s="54" t="str">
        <x:v>C3</x:v>
      </x:c>
      <x:c r="J23" s="54" t="n">
        <x:v>2</x:v>
      </x:c>
      <x:c r="K23" s="45" t="str">
        <x:v>KATALOG DETAILU skladby.pdf</x:v>
      </x:c>
    </x:row>
    <x:row r="24" ht="30" customHeight="1">
      <x:c r="A24" s="63" t="str">
        <x:v>1.2</x:v>
      </x:c>
      <x:c r="B24" s="63" t="str">
        <x:v>Obvodový stěnový panel s provětrávanou dřevěnou fasádou</x:v>
      </x:c>
      <x:c r="C24" s="63" t="n">
        <x:v>8</x:v>
      </x:c>
      <x:c r="D24" s="63" t="str">
        <x:v>INTERIÉR → EXTERIÉR</x:v>
      </x:c>
      <x:c r="E24" s="45" t="str">
        <x:v>minerální izolace na tlouštku rámu</x:v>
      </x:c>
      <x:c r="F24" s="57" t="str">
        <x:v>-</x:v>
      </x:c>
      <x:c r="G24" s="57" t="str">
        <x:v>-</x:v>
      </x:c>
      <x:c r="H24" s="75" t="n">
        <x:v>0.035</x:v>
      </x:c>
      <x:c r="I24" s="54" t="str">
        <x:v>A1</x:v>
      </x:c>
      <x:c r="J24" s="54" t="n">
        <x:v>2</x:v>
      </x:c>
      <x:c r="K24" s="45" t="str">
        <x:v>KATALOG DETAILU skladby.pdf</x:v>
      </x:c>
    </x:row>
    <x:row r="25" ht="30" customHeight="1">
      <x:c r="A25" s="63" t="str">
        <x:v>1.2</x:v>
      </x:c>
      <x:c r="B25" s="63" t="str">
        <x:v>Obvodový stěnový panel s provětrávanou dřevěnou fasádou</x:v>
      </x:c>
      <x:c r="C25" s="63" t="n">
        <x:v>9</x:v>
      </x:c>
      <x:c r="D25" s="63" t="str">
        <x:v>INTERIÉR → EXTERIÉR</x:v>
      </x:c>
      <x:c r="E25" s="45" t="str">
        <x:v>sádrovláknitá deska Fermacell 12,5mm</x:v>
      </x:c>
      <x:c r="F25" s="57" t="n">
        <x:v>13</x:v>
      </x:c>
      <x:c r="G25" s="57" t="n">
        <x:v>15</x:v>
      </x:c>
      <x:c r="H25" s="75" t="n">
        <x:v>0.32</x:v>
      </x:c>
      <x:c r="I25" s="54" t="str">
        <x:v>A2</x:v>
      </x:c>
      <x:c r="J25" s="54" t="n">
        <x:v>2</x:v>
      </x:c>
      <x:c r="K25" s="45" t="str">
        <x:v>KATALOG DETAILU skladby.pdf</x:v>
      </x:c>
    </x:row>
    <x:row r="26" ht="30" customHeight="1">
      <x:c r="A26" s="63" t="str">
        <x:v>1.2</x:v>
      </x:c>
      <x:c r="B26" s="63" t="str">
        <x:v>Obvodový stěnový panel s provětrávanou dřevěnou fasádou</x:v>
      </x:c>
      <x:c r="C26" s="63" t="n">
        <x:v>10</x:v>
      </x:c>
      <x:c r="D26" s="63" t="str">
        <x:v>INTERIÉR → EXTERIÉR</x:v>
      </x:c>
      <x:c r="E26" s="45" t="str">
        <x:v>difůzní folie</x:v>
      </x:c>
      <x:c r="F26" s="57" t="n">
        <x:v>0.5</x:v>
      </x:c>
      <x:c r="G26" s="57" t="n">
        <x:v>0.5</x:v>
      </x:c>
      <x:c r="H26" s="75" t="str">
        <x:v>X</x:v>
      </x:c>
      <x:c r="I26" s="54" t="str">
        <x:v>X</x:v>
      </x:c>
      <x:c r="J26" s="54" t="n">
        <x:v>2</x:v>
      </x:c>
      <x:c r="K26" s="45" t="str">
        <x:v>KATALOG DETAILU skladby.pdf</x:v>
      </x:c>
    </x:row>
    <x:row r="27" ht="30" customHeight="1">
      <x:c r="A27" s="63" t="str">
        <x:v>1.2</x:v>
      </x:c>
      <x:c r="B27" s="63" t="str">
        <x:v>Obvodový stěnový panel s provětrávanou dřevěnou fasádou</x:v>
      </x:c>
      <x:c r="C27" s="63" t="n">
        <x:v>11</x:v>
      </x:c>
      <x:c r="D27" s="63" t="str">
        <x:v>INTERIÉR → EXTERIÉR</x:v>
      </x:c>
      <x:c r="E27" s="45" t="str">
        <x:v>latě vertikální 60/40mm + vzduchová mezera</x:v>
      </x:c>
      <x:c r="F27" s="57" t="n">
        <x:v>40</x:v>
      </x:c>
      <x:c r="G27" s="57" t="n">
        <x:v>1.5</x:v>
      </x:c>
      <x:c r="H27" s="75" t="n">
        <x:v>0.18</x:v>
      </x:c>
      <x:c r="I27" s="54" t="str">
        <x:v>C3</x:v>
      </x:c>
      <x:c r="J27" s="54" t="n">
        <x:v>2</x:v>
      </x:c>
      <x:c r="K27" s="45" t="str">
        <x:v>KATALOG DETAILU skladby.pdf</x:v>
      </x:c>
    </x:row>
    <x:row r="28" ht="30" customHeight="1">
      <x:c r="A28" s="63" t="str">
        <x:v>1.2</x:v>
      </x:c>
      <x:c r="B28" s="63" t="str">
        <x:v>Obvodový stěnový panel s provětrávanou dřevěnou fasádou</x:v>
      </x:c>
      <x:c r="C28" s="63" t="n">
        <x:v>12</x:v>
      </x:c>
      <x:c r="D28" s="63" t="str">
        <x:v>INTERIÉR → EXTERIÉR</x:v>
      </x:c>
      <x:c r="E28" s="45" t="str">
        <x:v>latě horizontální 60/40mm + vzduchová mezera</x:v>
      </x:c>
      <x:c r="F28" s="57" t="n">
        <x:v>40</x:v>
      </x:c>
      <x:c r="G28" s="57" t="n">
        <x:v>1.5</x:v>
      </x:c>
      <x:c r="H28" s="75" t="n">
        <x:v>0.18</x:v>
      </x:c>
      <x:c r="I28" s="54" t="str">
        <x:v>C3</x:v>
      </x:c>
      <x:c r="J28" s="54" t="n">
        <x:v>2</x:v>
      </x:c>
      <x:c r="K28" s="45" t="str">
        <x:v>KATALOG DETAILU skladby.pdf</x:v>
      </x:c>
    </x:row>
    <x:row r="29" ht="30" customHeight="1">
      <x:c r="A29" s="63" t="str">
        <x:v>1.2</x:v>
      </x:c>
      <x:c r="B29" s="63" t="str">
        <x:v>Obvodový stěnový panel s provětrávanou dřevěnou fasádou</x:v>
      </x:c>
      <x:c r="C29" s="63" t="n">
        <x:v>13</x:v>
      </x:c>
      <x:c r="D29" s="63" t="str">
        <x:v>INTERIÉR → EXTERIÉR</x:v>
      </x:c>
      <x:c r="E29" s="45" t="str">
        <x:v>modřínový obklad vertikální 146/19mm</x:v>
      </x:c>
      <x:c r="F29" s="57" t="n">
        <x:v>19</x:v>
      </x:c>
      <x:c r="G29" s="57" t="n">
        <x:v>11.5</x:v>
      </x:c>
      <x:c r="H29" s="75" t="n">
        <x:v>0.18</x:v>
      </x:c>
      <x:c r="I29" s="54" t="str">
        <x:v>C3</x:v>
      </x:c>
      <x:c r="J29" s="54" t="n">
        <x:v>2</x:v>
      </x:c>
      <x:c r="K29" s="45" t="str">
        <x:v>KATALOG DETAILU skladby.pdf</x:v>
      </x:c>
    </x:row>
    <x:row r="30" ht="30" customHeight="1">
      <x:c r="A30" s="63" t="str">
        <x:v>1.3</x:v>
      </x:c>
      <x:c r="B30" s="63" t="str">
        <x:v>Obvodový stěnový panel DP1 s ocelovým rámem a omítkovou fasádou</x:v>
      </x:c>
      <x:c r="C30" s="63" t="n">
        <x:v>1</x:v>
      </x:c>
      <x:c r="D30" s="63" t="str">
        <x:v>INTERIÉR → EXTERIÉR</x:v>
      </x:c>
      <x:c r="E30" s="45" t="str">
        <x:v>sádrokartonová deska 12,5 mm</x:v>
      </x:c>
      <x:c r="F30" s="57" t="n">
        <x:v>12</x:v>
      </x:c>
      <x:c r="G30" s="57" t="n">
        <x:v>9.2</x:v>
      </x:c>
      <x:c r="H30" s="75" t="n">
        <x:v>0.21</x:v>
      </x:c>
      <x:c r="I30" s="54" t="str">
        <x:v>A2</x:v>
      </x:c>
      <x:c r="J30" s="54" t="n">
        <x:v>3</x:v>
      </x:c>
      <x:c r="K30" s="45" t="str">
        <x:v>KATALOG DETAILU skladby.pdf</x:v>
      </x:c>
    </x:row>
    <x:row r="31" ht="30" customHeight="1">
      <x:c r="A31" s="63" t="str">
        <x:v>1.3</x:v>
      </x:c>
      <x:c r="B31" s="63" t="str">
        <x:v>Obvodový stěnový panel DP1 s ocelovým rámem a omítkovou fasádou</x:v>
      </x:c>
      <x:c r="C31" s="63" t="n">
        <x:v>2</x:v>
      </x:c>
      <x:c r="D31" s="63" t="str">
        <x:v>INTERIÉR → EXTERIÉR</x:v>
      </x:c>
      <x:c r="E31" s="45" t="str">
        <x:v>sádrovláknitá deska Fermacell 12,5mm</x:v>
      </x:c>
      <x:c r="F31" s="57" t="n">
        <x:v>13</x:v>
      </x:c>
      <x:c r="G31" s="57" t="n">
        <x:v>15</x:v>
      </x:c>
      <x:c r="H31" s="75" t="n">
        <x:v>0.32</x:v>
      </x:c>
      <x:c r="I31" s="54" t="str">
        <x:v>A2</x:v>
      </x:c>
      <x:c r="J31" s="54" t="n">
        <x:v>3</x:v>
      </x:c>
      <x:c r="K31" s="45" t="str">
        <x:v>KATALOG DETAILU skladby.pdf</x:v>
      </x:c>
    </x:row>
    <x:row r="32" ht="30" customHeight="1">
      <x:c r="A32" s="63" t="str">
        <x:v>1.3</x:v>
      </x:c>
      <x:c r="B32" s="63" t="str">
        <x:v>Obvodový stěnový panel DP1 s ocelovým rámem a omítkovou fasádou</x:v>
      </x:c>
      <x:c r="C32" s="63" t="n">
        <x:v>3</x:v>
      </x:c>
      <x:c r="D32" s="63" t="str">
        <x:v>INTERIÉR → EXTERIÉR</x:v>
      </x:c>
      <x:c r="E32" s="45" t="str">
        <x:v>instalační předstěna z latí 60/40 mm</x:v>
      </x:c>
      <x:c r="F32" s="57" t="n">
        <x:v>40</x:v>
      </x:c>
      <x:c r="G32" s="57" t="n">
        <x:v>2</x:v>
      </x:c>
      <x:c r="H32" s="75" t="n">
        <x:v>0.18</x:v>
      </x:c>
      <x:c r="I32" s="54" t="str">
        <x:v>C3</x:v>
      </x:c>
      <x:c r="J32" s="54" t="n">
        <x:v>3</x:v>
      </x:c>
      <x:c r="K32" s="45" t="str">
        <x:v>KATALOG DETAILU skladby.pdf</x:v>
      </x:c>
    </x:row>
    <x:row r="33" ht="30" customHeight="1">
      <x:c r="A33" s="63" t="str">
        <x:v>1.3</x:v>
      </x:c>
      <x:c r="B33" s="63" t="str">
        <x:v>Obvodový stěnový panel DP1 s ocelovým rámem a omítkovou fasádou</x:v>
      </x:c>
      <x:c r="C33" s="63" t="n">
        <x:v>4</x:v>
      </x:c>
      <x:c r="D33" s="63" t="str">
        <x:v>INTERIÉR → EXTERIÉR</x:v>
      </x:c>
      <x:c r="E33" s="45" t="str">
        <x:v>minerální izolace na tlouštku rámu</x:v>
      </x:c>
      <x:c r="F33" s="57" t="str">
        <x:v>-</x:v>
      </x:c>
      <x:c r="G33" s="57" t="str">
        <x:v>-</x:v>
      </x:c>
      <x:c r="H33" s="75" t="n">
        <x:v>0.035</x:v>
      </x:c>
      <x:c r="I33" s="54" t="str">
        <x:v>A1</x:v>
      </x:c>
      <x:c r="J33" s="54" t="n">
        <x:v>3</x:v>
      </x:c>
      <x:c r="K33" s="45" t="str">
        <x:v>KATALOG DETAILU skladby.pdf</x:v>
      </x:c>
    </x:row>
    <x:row r="34" ht="30" customHeight="1">
      <x:c r="A34" s="63" t="str">
        <x:v>1.3</x:v>
      </x:c>
      <x:c r="B34" s="63" t="str">
        <x:v>Obvodový stěnový panel DP1 s ocelovým rámem a omítkovou fasádou</x:v>
      </x:c>
      <x:c r="C34" s="63" t="n">
        <x:v>5</x:v>
      </x:c>
      <x:c r="D34" s="63" t="str">
        <x:v>INTERIÉR → EXTERIÉR</x:v>
      </x:c>
      <x:c r="E34" s="45" t="str">
        <x:v>sádrovláknitá deska Fermacell 12,5mm</x:v>
      </x:c>
      <x:c r="F34" s="57" t="n">
        <x:v>13</x:v>
      </x:c>
      <x:c r="G34" s="57" t="n">
        <x:v>15</x:v>
      </x:c>
      <x:c r="H34" s="75" t="n">
        <x:v>0.32</x:v>
      </x:c>
      <x:c r="I34" s="54" t="str">
        <x:v>A2</x:v>
      </x:c>
      <x:c r="J34" s="54" t="n">
        <x:v>3</x:v>
      </x:c>
      <x:c r="K34" s="45" t="str">
        <x:v>KATALOG DETAILU skladby.pdf</x:v>
      </x:c>
    </x:row>
    <x:row r="35" ht="30" customHeight="1">
      <x:c r="A35" s="63" t="str">
        <x:v>1.3</x:v>
      </x:c>
      <x:c r="B35" s="63" t="str">
        <x:v>Obvodový stěnový panel DP1 s ocelovým rámem a omítkovou fasádou</x:v>
      </x:c>
      <x:c r="C35" s="63" t="n">
        <x:v>6</x:v>
      </x:c>
      <x:c r="D35" s="63" t="str">
        <x:v>INTERIÉR → EXTERIÉR</x:v>
      </x:c>
      <x:c r="E35" s="45" t="str">
        <x:v>parozábrana</x:v>
      </x:c>
      <x:c r="F35" s="57" t="n">
        <x:v>0.5</x:v>
      </x:c>
      <x:c r="G35" s="57" t="n">
        <x:v>1</x:v>
      </x:c>
      <x:c r="H35" s="75" t="str">
        <x:v>X</x:v>
      </x:c>
      <x:c r="I35" s="54" t="str">
        <x:v>X</x:v>
      </x:c>
      <x:c r="J35" s="54" t="n">
        <x:v>3</x:v>
      </x:c>
      <x:c r="K35" s="45" t="str">
        <x:v>KATALOG DETAILU skladby.pdf</x:v>
      </x:c>
    </x:row>
    <x:row r="36" ht="30" customHeight="1">
      <x:c r="A36" s="63" t="str">
        <x:v>1.3</x:v>
      </x:c>
      <x:c r="B36" s="63" t="str">
        <x:v>Obvodový stěnový panel DP1 s ocelovým rámem a omítkovou fasádou</x:v>
      </x:c>
      <x:c r="C36" s="63" t="n">
        <x:v>7</x:v>
      </x:c>
      <x:c r="D36" s="63" t="str">
        <x:v>INTERIÉR → EXTERIÉR</x:v>
      </x:c>
      <x:c r="E36" s="45" t="str">
        <x:v>sádrovláknitá deska Fermacell 15mm</x:v>
      </x:c>
      <x:c r="F36" s="57" t="n">
        <x:v>15</x:v>
      </x:c>
      <x:c r="G36" s="57" t="n">
        <x:v>18</x:v>
      </x:c>
      <x:c r="H36" s="75" t="n">
        <x:v>0.32</x:v>
      </x:c>
      <x:c r="I36" s="54" t="str">
        <x:v>A2</x:v>
      </x:c>
      <x:c r="J36" s="54" t="n">
        <x:v>3</x:v>
      </x:c>
      <x:c r="K36" s="45" t="str">
        <x:v>KATALOG DETAILU skladby.pdf</x:v>
      </x:c>
    </x:row>
    <x:row r="37" ht="30" customHeight="1">
      <x:c r="A37" s="63" t="str">
        <x:v>1.3</x:v>
      </x:c>
      <x:c r="B37" s="63" t="str">
        <x:v>Obvodový stěnový panel DP1 s ocelovým rámem a omítkovou fasádou</x:v>
      </x:c>
      <x:c r="C37" s="63" t="n">
        <x:v>8</x:v>
      </x:c>
      <x:c r="D37" s="63" t="str">
        <x:v>INTERIÉR → EXTERIÉR</x:v>
      </x:c>
      <x:c r="E37" s="45" t="str">
        <x:v>Lindab RY120/1</x:v>
      </x:c>
      <x:c r="F37" s="57" t="n">
        <x:v>120</x:v>
      </x:c>
      <x:c r="G37" s="57" t="n">
        <x:v>3.2</x:v>
      </x:c>
      <x:c r="H37" s="75" t="str">
        <x:v>-</x:v>
      </x:c>
      <x:c r="I37" s="54" t="str">
        <x:v>A1</x:v>
      </x:c>
      <x:c r="J37" s="54" t="n">
        <x:v>3</x:v>
      </x:c>
      <x:c r="K37" s="45" t="str">
        <x:v>KATALOG DETAILU skladby.pdf</x:v>
      </x:c>
    </x:row>
    <x:row r="38" ht="30" customHeight="1">
      <x:c r="A38" s="63" t="str">
        <x:v>1.3</x:v>
      </x:c>
      <x:c r="B38" s="63" t="str">
        <x:v>Obvodový stěnový panel DP1 s ocelovým rámem a omítkovou fasádou</x:v>
      </x:c>
      <x:c r="C38" s="63" t="n">
        <x:v>9</x:v>
      </x:c>
      <x:c r="D38" s="63" t="str">
        <x:v>INTERIÉR → EXTERIÉR</x:v>
      </x:c>
      <x:c r="E38" s="45" t="str">
        <x:v>minerální izolace na tlouštku rámu</x:v>
      </x:c>
      <x:c r="F38" s="57" t="str">
        <x:v>-</x:v>
      </x:c>
      <x:c r="G38" s="57" t="str">
        <x:v>-</x:v>
      </x:c>
      <x:c r="H38" s="75" t="n">
        <x:v>0.035</x:v>
      </x:c>
      <x:c r="I38" s="54" t="str">
        <x:v>A1</x:v>
      </x:c>
      <x:c r="J38" s="54" t="n">
        <x:v>3</x:v>
      </x:c>
      <x:c r="K38" s="45" t="str">
        <x:v>KATALOG DETAILU skladby.pdf</x:v>
      </x:c>
    </x:row>
    <x:row r="39" ht="30" customHeight="1">
      <x:c r="A39" s="63" t="str">
        <x:v>1.3</x:v>
      </x:c>
      <x:c r="B39" s="63" t="str">
        <x:v>Obvodový stěnový panel DP1 s ocelovým rámem a omítkovou fasádou</x:v>
      </x:c>
      <x:c r="C39" s="63" t="n">
        <x:v>10</x:v>
      </x:c>
      <x:c r="D39" s="63" t="str">
        <x:v>INTERIÉR → EXTERIÉR</x:v>
      </x:c>
      <x:c r="E39" s="45" t="str">
        <x:v>sádrovláknitá deska Fermacell 15mm</x:v>
      </x:c>
      <x:c r="F39" s="57" t="n">
        <x:v>15</x:v>
      </x:c>
      <x:c r="G39" s="57" t="n">
        <x:v>18</x:v>
      </x:c>
      <x:c r="H39" s="75" t="n">
        <x:v>0.32</x:v>
      </x:c>
      <x:c r="I39" s="54" t="str">
        <x:v>A2</x:v>
      </x:c>
      <x:c r="J39" s="54" t="n">
        <x:v>3</x:v>
      </x:c>
      <x:c r="K39" s="45" t="str">
        <x:v>KATALOG DETAILU skladby.pdf</x:v>
      </x:c>
    </x:row>
    <x:row r="40" ht="30" customHeight="1">
      <x:c r="A40" s="63" t="str">
        <x:v>1.3</x:v>
      </x:c>
      <x:c r="B40" s="63" t="str">
        <x:v>Obvodový stěnový panel DP1 s ocelovým rámem a omítkovou fasádou</x:v>
      </x:c>
      <x:c r="C40" s="63" t="n">
        <x:v>11</x:v>
      </x:c>
      <x:c r="D40" s="63" t="str">
        <x:v>INTERIÉR → EXTERIÉR</x:v>
      </x:c>
      <x:c r="E40" s="45" t="str">
        <x:v>sádrovláknitá deska Fermacell 12,5mm</x:v>
      </x:c>
      <x:c r="F40" s="57" t="n">
        <x:v>13</x:v>
      </x:c>
      <x:c r="G40" s="57" t="n">
        <x:v>15</x:v>
      </x:c>
      <x:c r="H40" s="75" t="n">
        <x:v>0.32</x:v>
      </x:c>
      <x:c r="I40" s="54" t="str">
        <x:v>A2</x:v>
      </x:c>
      <x:c r="J40" s="54" t="n">
        <x:v>3</x:v>
      </x:c>
      <x:c r="K40" s="45" t="str">
        <x:v>KATALOG DETAILU skladby.pdf</x:v>
      </x:c>
    </x:row>
    <x:row r="41" ht="30" customHeight="1">
      <x:c r="A41" s="63" t="str">
        <x:v>1.3</x:v>
      </x:c>
      <x:c r="B41" s="63" t="str">
        <x:v>Obvodový stěnový panel DP1 s ocelovým rámem a omítkovou fasádou</x:v>
      </x:c>
      <x:c r="C41" s="63" t="n">
        <x:v>12</x:v>
      </x:c>
      <x:c r="D41" s="63" t="str">
        <x:v>INTERIÉR → EXTERIÉR</x:v>
      </x:c>
      <x:c r="E41" s="45" t="str">
        <x:v>minerální tepelná izolace 120 mm</x:v>
      </x:c>
      <x:c r="F41" s="57" t="n">
        <x:v>120</x:v>
      </x:c>
      <x:c r="G41" s="57" t="n">
        <x:v>6</x:v>
      </x:c>
      <x:c r="H41" s="75" t="n">
        <x:v>0.035</x:v>
      </x:c>
      <x:c r="I41" s="54" t="str">
        <x:v>A1</x:v>
      </x:c>
      <x:c r="J41" s="54" t="n">
        <x:v>3</x:v>
      </x:c>
      <x:c r="K41" s="45" t="str">
        <x:v>KATALOG DETAILU skladby.pdf</x:v>
      </x:c>
    </x:row>
    <x:row r="42" ht="30" customHeight="1">
      <x:c r="A42" s="63" t="str">
        <x:v>1.3</x:v>
      </x:c>
      <x:c r="B42" s="63" t="str">
        <x:v>Obvodový stěnový panel DP1 s ocelovým rámem a omítkovou fasádou</x:v>
      </x:c>
      <x:c r="C42" s="63" t="n">
        <x:v>13</x:v>
      </x:c>
      <x:c r="D42" s="63" t="str">
        <x:v>INTERIÉR → EXTERIÉR</x:v>
      </x:c>
      <x:c r="E42" s="45" t="str">
        <x:v>fasádní stěrka s perlinkou + omítka</x:v>
      </x:c>
      <x:c r="F42" s="57" t="n">
        <x:v>7</x:v>
      </x:c>
      <x:c r="G42" s="57" t="n">
        <x:v>5</x:v>
      </x:c>
      <x:c r="H42" s="75" t="str"/>
      <x:c r="I42" s="54" t="str"/>
      <x:c r="J42" s="54" t="n">
        <x:v>3</x:v>
      </x:c>
      <x:c r="K42" s="45" t="str">
        <x:v>KATALOG DETAILU skladby.pdf</x:v>
      </x:c>
    </x:row>
    <x:row r="43" ht="30" customHeight="1">
      <x:c r="A43" s="63" t="str">
        <x:v>2.1</x:v>
      </x:c>
      <x:c r="B43" s="63" t="str">
        <x:v>Vnitřní nosný stěnový panel s KVH rámem 120 mm</x:v>
      </x:c>
      <x:c r="C43" s="63" t="n">
        <x:v>1</x:v>
      </x:c>
      <x:c r="D43" s="63" t="str">
        <x:v>INTERIÉR → INTERIÉR</x:v>
      </x:c>
      <x:c r="E43" s="45" t="str">
        <x:v>sádrokartonová deska 12,5 mm</x:v>
      </x:c>
      <x:c r="F43" s="57" t="n">
        <x:v>12</x:v>
      </x:c>
      <x:c r="G43" s="57" t="n">
        <x:v>9.2</x:v>
      </x:c>
      <x:c r="H43" s="75" t="n">
        <x:v>0.21</x:v>
      </x:c>
      <x:c r="I43" s="54" t="str">
        <x:v>A2</x:v>
      </x:c>
      <x:c r="J43" s="54" t="n">
        <x:v>4</x:v>
      </x:c>
      <x:c r="K43" s="45" t="str">
        <x:v>KATALOG DETAILU skladby.pdf</x:v>
      </x:c>
    </x:row>
    <x:row r="44" ht="30" customHeight="1">
      <x:c r="A44" s="63" t="str">
        <x:v>2.1</x:v>
      </x:c>
      <x:c r="B44" s="63" t="str">
        <x:v>Vnitřní nosný stěnový panel s KVH rámem 120 mm</x:v>
      </x:c>
      <x:c r="C44" s="63" t="n">
        <x:v>2</x:v>
      </x:c>
      <x:c r="D44" s="63" t="str">
        <x:v>INTERIÉR → INTERIÉR</x:v>
      </x:c>
      <x:c r="E44" s="45" t="str">
        <x:v>sádrovláknitá deska Fermacell 12,5mm</x:v>
      </x:c>
      <x:c r="F44" s="57" t="n">
        <x:v>13</x:v>
      </x:c>
      <x:c r="G44" s="57" t="n">
        <x:v>15</x:v>
      </x:c>
      <x:c r="H44" s="75" t="n">
        <x:v>0.32</x:v>
      </x:c>
      <x:c r="I44" s="54" t="str">
        <x:v>A2</x:v>
      </x:c>
      <x:c r="J44" s="54" t="n">
        <x:v>4</x:v>
      </x:c>
      <x:c r="K44" s="45" t="str">
        <x:v>KATALOG DETAILU skladby.pdf</x:v>
      </x:c>
    </x:row>
    <x:row r="45" ht="30" customHeight="1">
      <x:c r="A45" s="63" t="str">
        <x:v>2.1</x:v>
      </x:c>
      <x:c r="B45" s="63" t="str">
        <x:v>Vnitřní nosný stěnový panel s KVH rámem 120 mm</x:v>
      </x:c>
      <x:c r="C45" s="63" t="n">
        <x:v>3</x:v>
      </x:c>
      <x:c r="D45" s="63" t="str">
        <x:v>INTERIÉR → INTERIÉR</x:v>
      </x:c>
      <x:c r="E45" s="45" t="str">
        <x:v>KVH 60/120mm</x:v>
      </x:c>
      <x:c r="F45" s="57" t="n">
        <x:v>120</x:v>
      </x:c>
      <x:c r="G45" s="57" t="n">
        <x:v>8</x:v>
      </x:c>
      <x:c r="H45" s="75" t="n">
        <x:v>0.18</x:v>
      </x:c>
      <x:c r="I45" s="54" t="str">
        <x:v>C3</x:v>
      </x:c>
      <x:c r="J45" s="54" t="n">
        <x:v>4</x:v>
      </x:c>
      <x:c r="K45" s="45" t="str">
        <x:v>KATALOG DETAILU skladby.pdf</x:v>
      </x:c>
    </x:row>
    <x:row r="46" ht="30" customHeight="1">
      <x:c r="A46" s="63" t="str">
        <x:v>2.1</x:v>
      </x:c>
      <x:c r="B46" s="63" t="str">
        <x:v>Vnitřní nosný stěnový panel s KVH rámem 120 mm</x:v>
      </x:c>
      <x:c r="C46" s="63" t="n">
        <x:v>4</x:v>
      </x:c>
      <x:c r="D46" s="63" t="str">
        <x:v>INTERIÉR → INTERIÉR</x:v>
      </x:c>
      <x:c r="E46" s="45" t="str">
        <x:v>minerální izolace na tlouštku rámu</x:v>
      </x:c>
      <x:c r="F46" s="57" t="str">
        <x:v>-</x:v>
      </x:c>
      <x:c r="G46" s="57" t="str">
        <x:v>-</x:v>
      </x:c>
      <x:c r="H46" s="75" t="n">
        <x:v>0.035</x:v>
      </x:c>
      <x:c r="I46" s="54" t="str">
        <x:v>A1</x:v>
      </x:c>
      <x:c r="J46" s="54" t="n">
        <x:v>4</x:v>
      </x:c>
      <x:c r="K46" s="45" t="str">
        <x:v>KATALOG DETAILU skladby.pdf</x:v>
      </x:c>
    </x:row>
    <x:row r="47" ht="30" customHeight="1">
      <x:c r="A47" s="63" t="str">
        <x:v>2.1</x:v>
      </x:c>
      <x:c r="B47" s="63" t="str">
        <x:v>Vnitřní nosný stěnový panel s KVH rámem 120 mm</x:v>
      </x:c>
      <x:c r="C47" s="63" t="n">
        <x:v>5</x:v>
      </x:c>
      <x:c r="D47" s="63" t="str">
        <x:v>INTERIÉR → INTERIÉR</x:v>
      </x:c>
      <x:c r="E47" s="45" t="str">
        <x:v>sádrovláknitá deska Fermacell 12,5mm</x:v>
      </x:c>
      <x:c r="F47" s="57" t="n">
        <x:v>13</x:v>
      </x:c>
      <x:c r="G47" s="57" t="n">
        <x:v>15</x:v>
      </x:c>
      <x:c r="H47" s="75" t="n">
        <x:v>0.32</x:v>
      </x:c>
      <x:c r="I47" s="54" t="str">
        <x:v>A2</x:v>
      </x:c>
      <x:c r="J47" s="54" t="n">
        <x:v>4</x:v>
      </x:c>
      <x:c r="K47" s="45" t="str">
        <x:v>KATALOG DETAILU skladby.pdf</x:v>
      </x:c>
    </x:row>
    <x:row r="48" ht="30" customHeight="1">
      <x:c r="A48" s="63" t="str">
        <x:v>2.1</x:v>
      </x:c>
      <x:c r="B48" s="63" t="str">
        <x:v>Vnitřní nosný stěnový panel s KVH rámem 120 mm</x:v>
      </x:c>
      <x:c r="C48" s="63" t="n">
        <x:v>6</x:v>
      </x:c>
      <x:c r="D48" s="63" t="str">
        <x:v>INTERIÉR → INTERIÉR</x:v>
      </x:c>
      <x:c r="E48" s="45" t="str">
        <x:v>sádrokartonová deska 12,5 mm</x:v>
      </x:c>
      <x:c r="F48" s="57" t="n">
        <x:v>12</x:v>
      </x:c>
      <x:c r="G48" s="57" t="n">
        <x:v>9.2</x:v>
      </x:c>
      <x:c r="H48" s="75" t="n">
        <x:v>0.21</x:v>
      </x:c>
      <x:c r="I48" s="54" t="str">
        <x:v>A2</x:v>
      </x:c>
      <x:c r="J48" s="54" t="n">
        <x:v>4</x:v>
      </x:c>
      <x:c r="K48" s="45" t="str">
        <x:v>KATALOG DETAILU skladby.pdf</x:v>
      </x:c>
    </x:row>
    <x:row r="49" ht="30" customHeight="1">
      <x:c r="A49" s="63" t="str">
        <x:v>2.2</x:v>
      </x:c>
      <x:c r="B49" s="63" t="str">
        <x:v>Vnitřní akustická a požárně dělicí dvojitá stěna 2×120 mm</x:v>
      </x:c>
      <x:c r="C49" s="63" t="n">
        <x:v>1</x:v>
      </x:c>
      <x:c r="D49" s="63" t="str">
        <x:v>INTERIÉR → INTERIÉR</x:v>
      </x:c>
      <x:c r="E49" s="45" t="str">
        <x:v>sádrokartonová deska 12,5 mm</x:v>
      </x:c>
      <x:c r="F49" s="57" t="n">
        <x:v>12</x:v>
      </x:c>
      <x:c r="G49" s="57" t="n">
        <x:v>9.2</x:v>
      </x:c>
      <x:c r="H49" s="75" t="n">
        <x:v>0.21</x:v>
      </x:c>
      <x:c r="I49" s="54" t="str">
        <x:v>A2</x:v>
      </x:c>
      <x:c r="J49" s="54" t="n">
        <x:v>5</x:v>
      </x:c>
      <x:c r="K49" s="45" t="str">
        <x:v>KATALOG DETAILU skladby.pdf</x:v>
      </x:c>
    </x:row>
    <x:row r="50" ht="30" customHeight="1">
      <x:c r="A50" s="63" t="str">
        <x:v>2.2</x:v>
      </x:c>
      <x:c r="B50" s="63" t="str">
        <x:v>Vnitřní akustická a požárně dělicí dvojitá stěna 2×120 mm</x:v>
      </x:c>
      <x:c r="C50" s="63" t="n">
        <x:v>2</x:v>
      </x:c>
      <x:c r="D50" s="63" t="str">
        <x:v>INTERIÉR → INTERIÉR</x:v>
      </x:c>
      <x:c r="E50" s="45" t="str">
        <x:v>sádrovláknitá deska Fermacell 12,5mm</x:v>
      </x:c>
      <x:c r="F50" s="57" t="n">
        <x:v>13</x:v>
      </x:c>
      <x:c r="G50" s="57" t="n">
        <x:v>15</x:v>
      </x:c>
      <x:c r="H50" s="75" t="n">
        <x:v>0.32</x:v>
      </x:c>
      <x:c r="I50" s="54" t="str">
        <x:v>A2</x:v>
      </x:c>
      <x:c r="J50" s="54" t="n">
        <x:v>5</x:v>
      </x:c>
      <x:c r="K50" s="45" t="str">
        <x:v>KATALOG DETAILU skladby.pdf</x:v>
      </x:c>
    </x:row>
    <x:row r="51" ht="30" customHeight="1">
      <x:c r="A51" s="63" t="str">
        <x:v>2.2</x:v>
      </x:c>
      <x:c r="B51" s="63" t="str">
        <x:v>Vnitřní akustická a požárně dělicí dvojitá stěna 2×120 mm</x:v>
      </x:c>
      <x:c r="C51" s="63" t="n">
        <x:v>3</x:v>
      </x:c>
      <x:c r="D51" s="63" t="str">
        <x:v>INTERIÉR → INTERIÉR</x:v>
      </x:c>
      <x:c r="E51" s="45" t="str">
        <x:v>KVH 60/120mm</x:v>
      </x:c>
      <x:c r="F51" s="57" t="n">
        <x:v>120</x:v>
      </x:c>
      <x:c r="G51" s="57" t="n">
        <x:v>8</x:v>
      </x:c>
      <x:c r="H51" s="75" t="n">
        <x:v>0.18</x:v>
      </x:c>
      <x:c r="I51" s="54" t="str">
        <x:v>C3</x:v>
      </x:c>
      <x:c r="J51" s="54" t="n">
        <x:v>5</x:v>
      </x:c>
      <x:c r="K51" s="45" t="str">
        <x:v>KATALOG DETAILU skladby.pdf</x:v>
      </x:c>
    </x:row>
    <x:row r="52" ht="30" customHeight="1">
      <x:c r="A52" s="63" t="str">
        <x:v>2.2</x:v>
      </x:c>
      <x:c r="B52" s="63" t="str">
        <x:v>Vnitřní akustická a požárně dělicí dvojitá stěna 2×120 mm</x:v>
      </x:c>
      <x:c r="C52" s="63" t="n">
        <x:v>4</x:v>
      </x:c>
      <x:c r="D52" s="63" t="str">
        <x:v>INTERIÉR → INTERIÉR</x:v>
      </x:c>
      <x:c r="E52" s="45" t="str">
        <x:v>minerální izolace na tlouštku rámu</x:v>
      </x:c>
      <x:c r="F52" s="57" t="str">
        <x:v>-</x:v>
      </x:c>
      <x:c r="G52" s="57" t="str">
        <x:v>-</x:v>
      </x:c>
      <x:c r="H52" s="75" t="n">
        <x:v>0.035</x:v>
      </x:c>
      <x:c r="I52" s="54" t="str">
        <x:v>A1</x:v>
      </x:c>
      <x:c r="J52" s="54" t="n">
        <x:v>5</x:v>
      </x:c>
      <x:c r="K52" s="45" t="str">
        <x:v>KATALOG DETAILU skladby.pdf</x:v>
      </x:c>
    </x:row>
    <x:row r="53" ht="30" customHeight="1">
      <x:c r="A53" s="63" t="str">
        <x:v>2.2</x:v>
      </x:c>
      <x:c r="B53" s="63" t="str">
        <x:v>Vnitřní akustická a požárně dělicí dvojitá stěna 2×120 mm</x:v>
      </x:c>
      <x:c r="C53" s="63" t="n">
        <x:v>5</x:v>
      </x:c>
      <x:c r="D53" s="63" t="str">
        <x:v>INTERIÉR → INTERIÉR</x:v>
      </x:c>
      <x:c r="E53" s="45" t="str">
        <x:v>uzavřená mezera 10mm (na obvodu minerální izolace)</x:v>
      </x:c>
      <x:c r="F53" s="57" t="n">
        <x:v>10</x:v>
      </x:c>
      <x:c r="G53" s="57" t="n">
        <x:v>0</x:v>
      </x:c>
      <x:c r="H53" s="75" t="str">
        <x:v>X</x:v>
      </x:c>
      <x:c r="I53" s="54" t="str">
        <x:v>X</x:v>
      </x:c>
      <x:c r="J53" s="54" t="n">
        <x:v>5</x:v>
      </x:c>
      <x:c r="K53" s="45" t="str">
        <x:v>KATALOG DETAILU skladby.pdf</x:v>
      </x:c>
    </x:row>
    <x:row r="54" ht="30" customHeight="1">
      <x:c r="A54" s="63" t="str">
        <x:v>2.2</x:v>
      </x:c>
      <x:c r="B54" s="63" t="str">
        <x:v>Vnitřní akustická a požárně dělicí dvojitá stěna 2×120 mm</x:v>
      </x:c>
      <x:c r="C54" s="63" t="n">
        <x:v>6</x:v>
      </x:c>
      <x:c r="D54" s="63" t="str">
        <x:v>INTERIÉR → INTERIÉR</x:v>
      </x:c>
      <x:c r="E54" s="45" t="str">
        <x:v>KVH 60/120mm</x:v>
      </x:c>
      <x:c r="F54" s="57" t="n">
        <x:v>120</x:v>
      </x:c>
      <x:c r="G54" s="57" t="n">
        <x:v>8</x:v>
      </x:c>
      <x:c r="H54" s="75" t="n">
        <x:v>0.18</x:v>
      </x:c>
      <x:c r="I54" s="54" t="str">
        <x:v>C3</x:v>
      </x:c>
      <x:c r="J54" s="54" t="n">
        <x:v>5</x:v>
      </x:c>
      <x:c r="K54" s="45" t="str">
        <x:v>KATALOG DETAILU skladby.pdf</x:v>
      </x:c>
    </x:row>
    <x:row r="55" ht="30" customHeight="1">
      <x:c r="A55" s="63" t="str">
        <x:v>2.2</x:v>
      </x:c>
      <x:c r="B55" s="63" t="str">
        <x:v>Vnitřní akustická a požárně dělicí dvojitá stěna 2×120 mm</x:v>
      </x:c>
      <x:c r="C55" s="63" t="n">
        <x:v>7</x:v>
      </x:c>
      <x:c r="D55" s="63" t="str">
        <x:v>INTERIÉR → INTERIÉR</x:v>
      </x:c>
      <x:c r="E55" s="45" t="str">
        <x:v>minerální izolace na tlouštku rámu</x:v>
      </x:c>
      <x:c r="F55" s="57" t="str">
        <x:v>-</x:v>
      </x:c>
      <x:c r="G55" s="57" t="str">
        <x:v>-</x:v>
      </x:c>
      <x:c r="H55" s="75" t="n">
        <x:v>0.035</x:v>
      </x:c>
      <x:c r="I55" s="54" t="str">
        <x:v>A1</x:v>
      </x:c>
      <x:c r="J55" s="54" t="n">
        <x:v>5</x:v>
      </x:c>
      <x:c r="K55" s="45" t="str">
        <x:v>KATALOG DETAILU skladby.pdf</x:v>
      </x:c>
    </x:row>
    <x:row r="56" ht="30" customHeight="1">
      <x:c r="A56" s="63" t="str">
        <x:v>2.2</x:v>
      </x:c>
      <x:c r="B56" s="63" t="str">
        <x:v>Vnitřní akustická a požárně dělicí dvojitá stěna 2×120 mm</x:v>
      </x:c>
      <x:c r="C56" s="63" t="n">
        <x:v>8</x:v>
      </x:c>
      <x:c r="D56" s="63" t="str">
        <x:v>INTERIÉR → INTERIÉR</x:v>
      </x:c>
      <x:c r="E56" s="45" t="str">
        <x:v>sádrovláknitá deska Fermacell 12,5mm</x:v>
      </x:c>
      <x:c r="F56" s="57" t="n">
        <x:v>13</x:v>
      </x:c>
      <x:c r="G56" s="57" t="n">
        <x:v>15</x:v>
      </x:c>
      <x:c r="H56" s="75" t="n">
        <x:v>0.32</x:v>
      </x:c>
      <x:c r="I56" s="54" t="str">
        <x:v>A2</x:v>
      </x:c>
      <x:c r="J56" s="54" t="n">
        <x:v>5</x:v>
      </x:c>
      <x:c r="K56" s="45" t="str">
        <x:v>KATALOG DETAILU skladby.pdf</x:v>
      </x:c>
    </x:row>
    <x:row r="57" ht="30" customHeight="1">
      <x:c r="A57" s="63" t="str">
        <x:v>2.2</x:v>
      </x:c>
      <x:c r="B57" s="63" t="str">
        <x:v>Vnitřní akustická a požárně dělicí dvojitá stěna 2×120 mm</x:v>
      </x:c>
      <x:c r="C57" s="63" t="n">
        <x:v>9</x:v>
      </x:c>
      <x:c r="D57" s="63" t="str">
        <x:v>INTERIÉR → INTERIÉR</x:v>
      </x:c>
      <x:c r="E57" s="45" t="str">
        <x:v>sádrokartonová deska 12,5 mm</x:v>
      </x:c>
      <x:c r="F57" s="57" t="n">
        <x:v>12</x:v>
      </x:c>
      <x:c r="G57" s="57" t="n">
        <x:v>9.2</x:v>
      </x:c>
      <x:c r="H57" s="75" t="n">
        <x:v>0.21</x:v>
      </x:c>
      <x:c r="I57" s="54" t="str">
        <x:v>A2</x:v>
      </x:c>
      <x:c r="J57" s="54" t="n">
        <x:v>5</x:v>
      </x:c>
      <x:c r="K57" s="45" t="str">
        <x:v>KATALOG DETAILU skladby.pdf</x:v>
      </x:c>
    </x:row>
    <x:row r="58" ht="30" customHeight="1">
      <x:c r="A58" s="63" t="str">
        <x:v>3.1</x:v>
      </x:c>
      <x:c r="B58" s="63" t="str">
        <x:v>Podlahová skladba nad základy s teplovodním vytápěním</x:v>
      </x:c>
      <x:c r="C58" s="63" t="n">
        <x:v>1</x:v>
      </x:c>
      <x:c r="D58" s="63" t="str">
        <x:v>INTERIÉR → EXTERIÉR</x:v>
      </x:c>
      <x:c r="E58" s="45" t="str">
        <x:v>Nášlapná vrstva 15mm</x:v>
      </x:c>
      <x:c r="F58" s="57" t="n">
        <x:v>15</x:v>
      </x:c>
      <x:c r="G58" s="57" t="n">
        <x:v>15</x:v>
      </x:c>
      <x:c r="H58" s="75" t="str">
        <x:v>X</x:v>
      </x:c>
      <x:c r="I58" s="54" t="str">
        <x:v>X</x:v>
      </x:c>
      <x:c r="J58" s="54" t="n">
        <x:v>6</x:v>
      </x:c>
      <x:c r="K58" s="45" t="str">
        <x:v>KATALOG DETAILU skladby.pdf</x:v>
      </x:c>
    </x:row>
    <x:row r="59" ht="30" customHeight="1">
      <x:c r="A59" s="63" t="str">
        <x:v>3.1</x:v>
      </x:c>
      <x:c r="B59" s="63" t="str">
        <x:v>Podlahová skladba nad základy s teplovodním vytápěním</x:v>
      </x:c>
      <x:c r="C59" s="63" t="n">
        <x:v>2</x:v>
      </x:c>
      <x:c r="D59" s="63" t="str">
        <x:v>INTERIÉR → EXTERIÉR</x:v>
      </x:c>
      <x:c r="E59" s="45" t="str">
        <x:v>sádrovláknitá deska Fermacell 2x12,5mm</x:v>
      </x:c>
      <x:c r="F59" s="57" t="n">
        <x:v>25</x:v>
      </x:c>
      <x:c r="G59" s="57" t="n">
        <x:v>30</x:v>
      </x:c>
      <x:c r="H59" s="75" t="n">
        <x:v>0.32</x:v>
      </x:c>
      <x:c r="I59" s="54" t="str">
        <x:v>A2</x:v>
      </x:c>
      <x:c r="J59" s="54" t="n">
        <x:v>6</x:v>
      </x:c>
      <x:c r="K59" s="45" t="str">
        <x:v>KATALOG DETAILU skladby.pdf</x:v>
      </x:c>
    </x:row>
    <x:row r="60" ht="30" customHeight="1">
      <x:c r="A60" s="63" t="str">
        <x:v>3.1</x:v>
      </x:c>
      <x:c r="B60" s="63" t="str">
        <x:v>Podlahová skladba nad základy s teplovodním vytápěním</x:v>
      </x:c>
      <x:c r="C60" s="63" t="n">
        <x:v>3</x:v>
      </x:c>
      <x:c r="D60" s="63" t="str">
        <x:v>INTERIÉR → EXTERIÉR</x:v>
      </x:c>
      <x:c r="E60" s="45" t="str">
        <x:v>systémová deska podlahového vytápění 30mm</x:v>
      </x:c>
      <x:c r="F60" s="57" t="n">
        <x:v>30</x:v>
      </x:c>
      <x:c r="G60" s="57" t="n">
        <x:v>0.6</x:v>
      </x:c>
      <x:c r="H60" s="75" t="str">
        <x:v>X</x:v>
      </x:c>
      <x:c r="I60" s="54" t="str">
        <x:v>X</x:v>
      </x:c>
      <x:c r="J60" s="54" t="n">
        <x:v>6</x:v>
      </x:c>
      <x:c r="K60" s="45" t="str">
        <x:v>KATALOG DETAILU skladby.pdf</x:v>
      </x:c>
    </x:row>
    <x:row r="61" ht="30" customHeight="1">
      <x:c r="A61" s="63" t="str">
        <x:v>3.1</x:v>
      </x:c>
      <x:c r="B61" s="63" t="str">
        <x:v>Podlahová skladba nad základy s teplovodním vytápěním</x:v>
      </x:c>
      <x:c r="C61" s="63" t="n">
        <x:v>4</x:v>
      </x:c>
      <x:c r="D61" s="63" t="str">
        <x:v>INTERIÉR → EXTERIÉR</x:v>
      </x:c>
      <x:c r="E61" s="45" t="str">
        <x:v>EPS 2x60mm</x:v>
      </x:c>
      <x:c r="F61" s="57" t="n">
        <x:v>120</x:v>
      </x:c>
      <x:c r="G61" s="57" t="n">
        <x:v>2.5</x:v>
      </x:c>
      <x:c r="H61" s="75" t="n">
        <x:v>0.037</x:v>
      </x:c>
      <x:c r="I61" s="54" t="str">
        <x:v>E</x:v>
      </x:c>
      <x:c r="J61" s="54" t="n">
        <x:v>6</x:v>
      </x:c>
      <x:c r="K61" s="45" t="str">
        <x:v>KATALOG DETAILU skladby.pdf</x:v>
      </x:c>
    </x:row>
    <x:row r="62" ht="30" customHeight="1">
      <x:c r="A62" s="63" t="str">
        <x:v>3.1</x:v>
      </x:c>
      <x:c r="B62" s="63" t="str">
        <x:v>Podlahová skladba nad základy s teplovodním vytápěním</x:v>
      </x:c>
      <x:c r="C62" s="63" t="n">
        <x:v>5</x:v>
      </x:c>
      <x:c r="D62" s="63" t="str">
        <x:v>INTERIÉR → EXTERIÉR</x:v>
      </x:c>
      <x:c r="E62" s="45" t="str">
        <x:v>Fermacell vyrovnávací podsyp</x:v>
      </x:c>
      <x:c r="F62" s="57" t="n">
        <x:v>30</x:v>
      </x:c>
      <x:c r="G62" s="57" t="n">
        <x:v>12</x:v>
      </x:c>
      <x:c r="H62" s="75" t="n">
        <x:v>0.09</x:v>
      </x:c>
      <x:c r="I62" s="54" t="str">
        <x:v>A1</x:v>
      </x:c>
      <x:c r="J62" s="54" t="n">
        <x:v>6</x:v>
      </x:c>
      <x:c r="K62" s="45" t="str">
        <x:v>KATALOG DETAILU skladby.pdf</x:v>
      </x:c>
    </x:row>
    <x:row r="63" ht="30" customHeight="1">
      <x:c r="A63" s="63" t="str">
        <x:v>3.1</x:v>
      </x:c>
      <x:c r="B63" s="63" t="str">
        <x:v>Podlahová skladba nad základy s teplovodním vytápěním</x:v>
      </x:c>
      <x:c r="C63" s="63" t="n">
        <x:v>6</x:v>
      </x:c>
      <x:c r="D63" s="63" t="str">
        <x:v>INTERIÉR → EXTERIÉR</x:v>
      </x:c>
      <x:c r="E63" s="45" t="str">
        <x:v>PE folie</x:v>
      </x:c>
      <x:c r="F63" s="57" t="n">
        <x:v>0.1</x:v>
      </x:c>
      <x:c r="G63" s="57" t="n">
        <x:v>0.5</x:v>
      </x:c>
      <x:c r="H63" s="75" t="str">
        <x:v>X</x:v>
      </x:c>
      <x:c r="I63" s="54" t="str">
        <x:v>X</x:v>
      </x:c>
      <x:c r="J63" s="54" t="n">
        <x:v>6</x:v>
      </x:c>
      <x:c r="K63" s="45" t="str">
        <x:v>KATALOG DETAILU skladby.pdf</x:v>
      </x:c>
    </x:row>
    <x:row r="64" ht="30" customHeight="1">
      <x:c r="A64" s="63" t="str">
        <x:v>3.1</x:v>
      </x:c>
      <x:c r="B64" s="63" t="str">
        <x:v>Podlahová skladba nad základy s teplovodním vytápěním</x:v>
      </x:c>
      <x:c r="C64" s="63" t="n">
        <x:v>7</x:v>
      </x:c>
      <x:c r="D64" s="63" t="str">
        <x:v>INTERIÉR → EXTERIÉR</x:v>
      </x:c>
      <x:c r="E64" s="45" t="str">
        <x:v>betonová deska</x:v>
      </x:c>
      <x:c r="F64" s="57" t="str">
        <x:v>X</x:v>
      </x:c>
      <x:c r="G64" s="57" t="str">
        <x:v>X</x:v>
      </x:c>
      <x:c r="H64" s="75" t="n">
        <x:v>1.43</x:v>
      </x:c>
      <x:c r="I64" s="54" t="str">
        <x:v>A1</x:v>
      </x:c>
      <x:c r="J64" s="54" t="n">
        <x:v>6</x:v>
      </x:c>
      <x:c r="K64" s="45" t="str">
        <x:v>KATALOG DETAILU skladby.pdf</x:v>
      </x:c>
    </x:row>
    <x:row r="65" ht="30" customHeight="1">
      <x:c r="A65" s="63" t="str">
        <x:v>4.1</x:v>
      </x:c>
      <x:c r="B65" s="63" t="str">
        <x:v>Stropní panel rodinného domu s podlahovým vytápěním</x:v>
      </x:c>
      <x:c r="C65" s="63" t="n">
        <x:v>1</x:v>
      </x:c>
      <x:c r="D65" s="63" t="str">
        <x:v>INTERIÉR → INTERIÉR</x:v>
      </x:c>
      <x:c r="E65" s="45" t="str">
        <x:v>Nášlapná vrstva 15mm</x:v>
      </x:c>
      <x:c r="F65" s="57" t="n">
        <x:v>15</x:v>
      </x:c>
      <x:c r="G65" s="57" t="n">
        <x:v>15</x:v>
      </x:c>
      <x:c r="H65" s="75" t="str">
        <x:v>X</x:v>
      </x:c>
      <x:c r="I65" s="54" t="str">
        <x:v>X</x:v>
      </x:c>
      <x:c r="J65" s="54" t="n">
        <x:v>7</x:v>
      </x:c>
      <x:c r="K65" s="45" t="str">
        <x:v>KATALOG DETAILU skladby.pdf</x:v>
      </x:c>
    </x:row>
    <x:row r="66" ht="30" customHeight="1">
      <x:c r="A66" s="63" t="str">
        <x:v>4.1</x:v>
      </x:c>
      <x:c r="B66" s="63" t="str">
        <x:v>Stropní panel rodinného domu s podlahovým vytápěním</x:v>
      </x:c>
      <x:c r="C66" s="63" t="n">
        <x:v>2</x:v>
      </x:c>
      <x:c r="D66" s="63" t="str">
        <x:v>INTERIÉR → INTERIÉR</x:v>
      </x:c>
      <x:c r="E66" s="45" t="str">
        <x:v>sádrovláknitá deska Fermacell podlahový dílec 2E22</x:v>
      </x:c>
      <x:c r="F66" s="57" t="n">
        <x:v>25</x:v>
      </x:c>
      <x:c r="G66" s="57" t="n">
        <x:v>30</x:v>
      </x:c>
      <x:c r="H66" s="75" t="n">
        <x:v>0.14</x:v>
      </x:c>
      <x:c r="I66" s="54" t="str">
        <x:v>A1</x:v>
      </x:c>
      <x:c r="J66" s="54" t="n">
        <x:v>7</x:v>
      </x:c>
      <x:c r="K66" s="45" t="str">
        <x:v>KATALOG DETAILU skladby.pdf</x:v>
      </x:c>
    </x:row>
    <x:row r="67" ht="30" customHeight="1">
      <x:c r="A67" s="63" t="str">
        <x:v>4.1</x:v>
      </x:c>
      <x:c r="B67" s="63" t="str">
        <x:v>Stropní panel rodinného domu s podlahovým vytápěním</x:v>
      </x:c>
      <x:c r="C67" s="63" t="n">
        <x:v>3</x:v>
      </x:c>
      <x:c r="D67" s="63" t="str">
        <x:v>INTERIÉR → INTERIÉR</x:v>
      </x:c>
      <x:c r="E67" s="45" t="str">
        <x:v>systémová deska podlahového vytápění 30mm</x:v>
      </x:c>
      <x:c r="F67" s="57" t="n">
        <x:v>30</x:v>
      </x:c>
      <x:c r="G67" s="57" t="n">
        <x:v>0.6</x:v>
      </x:c>
      <x:c r="H67" s="75" t="str">
        <x:v>X</x:v>
      </x:c>
      <x:c r="I67" s="54" t="str">
        <x:v>X</x:v>
      </x:c>
      <x:c r="J67" s="54" t="n">
        <x:v>7</x:v>
      </x:c>
      <x:c r="K67" s="45" t="str">
        <x:v>KATALOG DETAILU skladby.pdf</x:v>
      </x:c>
    </x:row>
    <x:row r="68" ht="30" customHeight="1">
      <x:c r="A68" s="63" t="str">
        <x:v>4.1</x:v>
      </x:c>
      <x:c r="B68" s="63" t="str">
        <x:v>Stropní panel rodinného domu s podlahovým vytápěním</x:v>
      </x:c>
      <x:c r="C68" s="63" t="n">
        <x:v>4</x:v>
      </x:c>
      <x:c r="D68" s="63" t="str">
        <x:v>INTERIÉR → INTERIÉR</x:v>
      </x:c>
      <x:c r="E68" s="45" t="str">
        <x:v>HOBRA 3x15mm</x:v>
      </x:c>
      <x:c r="F68" s="57" t="n">
        <x:v>45</x:v>
      </x:c>
      <x:c r="G68" s="57" t="n">
        <x:v>10</x:v>
      </x:c>
      <x:c r="H68" s="75" t="n">
        <x:v>0.048</x:v>
      </x:c>
      <x:c r="I68" s="54" t="str">
        <x:v>E</x:v>
      </x:c>
      <x:c r="J68" s="54" t="n">
        <x:v>7</x:v>
      </x:c>
      <x:c r="K68" s="45" t="str">
        <x:v>KATALOG DETAILU skladby.pdf</x:v>
      </x:c>
    </x:row>
    <x:row r="69" ht="30" customHeight="1">
      <x:c r="A69" s="63" t="str">
        <x:v>4.1</x:v>
      </x:c>
      <x:c r="B69" s="63" t="str">
        <x:v>Stropní panel rodinného domu s podlahovým vytápěním</x:v>
      </x:c>
      <x:c r="C69" s="63" t="n">
        <x:v>5</x:v>
      </x:c>
      <x:c r="D69" s="63" t="str">
        <x:v>INTERIÉR → INTERIÉR</x:v>
      </x:c>
      <x:c r="E69" s="45" t="str">
        <x:v>OSB3 22mm</x:v>
      </x:c>
      <x:c r="F69" s="57" t="n">
        <x:v>22</x:v>
      </x:c>
      <x:c r="G69" s="57" t="n">
        <x:v>14</x:v>
      </x:c>
      <x:c r="H69" s="75" t="n">
        <x:v>0.13</x:v>
      </x:c>
      <x:c r="I69" s="54" t="str">
        <x:v>D-s2</x:v>
      </x:c>
      <x:c r="J69" s="54" t="n">
        <x:v>7</x:v>
      </x:c>
      <x:c r="K69" s="45" t="str">
        <x:v>KATALOG DETAILU skladby.pdf</x:v>
      </x:c>
    </x:row>
    <x:row r="70" ht="30" customHeight="1">
      <x:c r="A70" s="63" t="str">
        <x:v>4.1</x:v>
      </x:c>
      <x:c r="B70" s="63" t="str">
        <x:v>Stropní panel rodinného domu s podlahovým vytápěním</x:v>
      </x:c>
      <x:c r="C70" s="63" t="n">
        <x:v>6</x:v>
      </x:c>
      <x:c r="D70" s="63" t="str">
        <x:v>INTERIÉR → INTERIÉR</x:v>
      </x:c>
      <x:c r="E70" s="45" t="str">
        <x:v>KVH 60/240mm</x:v>
      </x:c>
      <x:c r="F70" s="57" t="n">
        <x:v>240</x:v>
      </x:c>
      <x:c r="G70" s="57" t="n">
        <x:v>13</x:v>
      </x:c>
      <x:c r="H70" s="75" t="n">
        <x:v>0.18</x:v>
      </x:c>
      <x:c r="I70" s="54" t="str">
        <x:v>C3</x:v>
      </x:c>
      <x:c r="J70" s="54" t="n">
        <x:v>7</x:v>
      </x:c>
      <x:c r="K70" s="45" t="str">
        <x:v>KATALOG DETAILU skladby.pdf</x:v>
      </x:c>
    </x:row>
    <x:row r="71" ht="30" customHeight="1">
      <x:c r="A71" s="63" t="str">
        <x:v>4.1</x:v>
      </x:c>
      <x:c r="B71" s="63" t="str">
        <x:v>Stropní panel rodinného domu s podlahovým vytápěním</x:v>
      </x:c>
      <x:c r="C71" s="63" t="n">
        <x:v>7</x:v>
      </x:c>
      <x:c r="D71" s="63" t="str">
        <x:v>INTERIÉR → INTERIÉR</x:v>
      </x:c>
      <x:c r="E71" s="45" t="str">
        <x:v>vyplnění rámu minerální izolací 100mm</x:v>
      </x:c>
      <x:c r="F71" s="57" t="str">
        <x:v>-</x:v>
      </x:c>
      <x:c r="G71" s="57" t="n">
        <x:v>5</x:v>
      </x:c>
      <x:c r="H71" s="75" t="n">
        <x:v>0.035</x:v>
      </x:c>
      <x:c r="I71" s="54" t="str">
        <x:v>A1</x:v>
      </x:c>
      <x:c r="J71" s="54" t="n">
        <x:v>7</x:v>
      </x:c>
      <x:c r="K71" s="45" t="str">
        <x:v>KATALOG DETAILU skladby.pdf</x:v>
      </x:c>
    </x:row>
    <x:row r="72" ht="30" customHeight="1">
      <x:c r="A72" s="63" t="str">
        <x:v>4.1</x:v>
      </x:c>
      <x:c r="B72" s="63" t="str">
        <x:v>Stropní panel rodinného domu s podlahovým vytápěním</x:v>
      </x:c>
      <x:c r="C72" s="63" t="n">
        <x:v>8</x:v>
      </x:c>
      <x:c r="D72" s="63" t="str">
        <x:v>INTERIÉR → INTERIÉR</x:v>
      </x:c>
      <x:c r="E72" s="45" t="str">
        <x:v>rošt latě 60/40mm, rozteč 400mm</x:v>
      </x:c>
      <x:c r="F72" s="57" t="n">
        <x:v>40</x:v>
      </x:c>
      <x:c r="G72" s="57" t="n">
        <x:v>1.2</x:v>
      </x:c>
      <x:c r="H72" s="75" t="n">
        <x:v>0.18</x:v>
      </x:c>
      <x:c r="I72" s="54" t="str">
        <x:v>C3</x:v>
      </x:c>
      <x:c r="J72" s="54" t="n">
        <x:v>7</x:v>
      </x:c>
      <x:c r="K72" s="45" t="str">
        <x:v>KATALOG DETAILU skladby.pdf</x:v>
      </x:c>
    </x:row>
    <x:row r="73" ht="30" customHeight="1">
      <x:c r="A73" s="63" t="str">
        <x:v>4.1</x:v>
      </x:c>
      <x:c r="B73" s="63" t="str">
        <x:v>Stropní panel rodinného domu s podlahovým vytápěním</x:v>
      </x:c>
      <x:c r="C73" s="63" t="n">
        <x:v>9</x:v>
      </x:c>
      <x:c r="D73" s="63" t="str">
        <x:v>INTERIÉR → INTERIÉR</x:v>
      </x:c>
      <x:c r="E73" s="45" t="str">
        <x:v>sádrokartonová deska 15 mm</x:v>
      </x:c>
      <x:c r="F73" s="57" t="n">
        <x:v>15</x:v>
      </x:c>
      <x:c r="G73" s="57" t="n">
        <x:v>11.2</x:v>
      </x:c>
      <x:c r="H73" s="75" t="n">
        <x:v>0.21</x:v>
      </x:c>
      <x:c r="I73" s="54" t="str">
        <x:v>A2</x:v>
      </x:c>
      <x:c r="J73" s="54" t="n">
        <x:v>7</x:v>
      </x:c>
      <x:c r="K73" s="45" t="str">
        <x:v>KATALOG DETAILU skladby.pdf</x:v>
      </x:c>
    </x:row>
    <x:row r="74" ht="30" customHeight="1">
      <x:c r="A74" s="63" t="str">
        <x:v>4.2</x:v>
      </x:c>
      <x:c r="B74" s="63" t="str">
        <x:v>Akustický stropní panel bytového domu s podlahovým vytápěním</x:v>
      </x:c>
      <x:c r="C74" s="63" t="n">
        <x:v>1</x:v>
      </x:c>
      <x:c r="D74" s="63" t="str">
        <x:v>INTERIÉR → INTERIÉR</x:v>
      </x:c>
      <x:c r="E74" s="45" t="str">
        <x:v>Nášlapná vrstva 15mm</x:v>
      </x:c>
      <x:c r="F74" s="57" t="n">
        <x:v>15</x:v>
      </x:c>
      <x:c r="G74" s="57" t="n">
        <x:v>15</x:v>
      </x:c>
      <x:c r="H74" s="75" t="str">
        <x:v>X</x:v>
      </x:c>
      <x:c r="I74" s="54" t="str">
        <x:v>X</x:v>
      </x:c>
      <x:c r="J74" s="54" t="n">
        <x:v>8</x:v>
      </x:c>
      <x:c r="K74" s="45" t="str">
        <x:v>KATALOG DETAILU skladby.pdf</x:v>
      </x:c>
    </x:row>
    <x:row r="75" ht="30" customHeight="1">
      <x:c r="A75" s="63" t="str">
        <x:v>4.2</x:v>
      </x:c>
      <x:c r="B75" s="63" t="str">
        <x:v>Akustický stropní panel bytového domu s podlahovým vytápěním</x:v>
      </x:c>
      <x:c r="C75" s="63" t="n">
        <x:v>2</x:v>
      </x:c>
      <x:c r="D75" s="63" t="str">
        <x:v>INTERIÉR → INTERIÉR</x:v>
      </x:c>
      <x:c r="E75" s="45" t="str">
        <x:v>sádrovláknitá deska Fermacell podlahový dílec 2E22</x:v>
      </x:c>
      <x:c r="F75" s="57" t="n">
        <x:v>25</x:v>
      </x:c>
      <x:c r="G75" s="57" t="n">
        <x:v>30</x:v>
      </x:c>
      <x:c r="H75" s="75" t="n">
        <x:v>0.14</x:v>
      </x:c>
      <x:c r="I75" s="54" t="str">
        <x:v>A1</x:v>
      </x:c>
      <x:c r="J75" s="54" t="n">
        <x:v>8</x:v>
      </x:c>
      <x:c r="K75" s="45" t="str">
        <x:v>KATALOG DETAILU skladby.pdf</x:v>
      </x:c>
    </x:row>
    <x:row r="76" ht="30" customHeight="1">
      <x:c r="A76" s="63" t="str">
        <x:v>4.2</x:v>
      </x:c>
      <x:c r="B76" s="63" t="str">
        <x:v>Akustický stropní panel bytového domu s podlahovým vytápěním</x:v>
      </x:c>
      <x:c r="C76" s="63" t="n">
        <x:v>3</x:v>
      </x:c>
      <x:c r="D76" s="63" t="str">
        <x:v>INTERIÉR → INTERIÉR</x:v>
      </x:c>
      <x:c r="E76" s="45" t="str">
        <x:v>systémová deska podlahového vytápění 30mm</x:v>
      </x:c>
      <x:c r="F76" s="57" t="n">
        <x:v>30</x:v>
      </x:c>
      <x:c r="G76" s="57" t="n">
        <x:v>0.6</x:v>
      </x:c>
      <x:c r="H76" s="75" t="str">
        <x:v>X</x:v>
      </x:c>
      <x:c r="I76" s="54" t="str">
        <x:v>X</x:v>
      </x:c>
      <x:c r="J76" s="54" t="n">
        <x:v>8</x:v>
      </x:c>
      <x:c r="K76" s="45" t="str">
        <x:v>KATALOG DETAILU skladby.pdf</x:v>
      </x:c>
    </x:row>
    <x:row r="77" ht="30" customHeight="1">
      <x:c r="A77" s="63" t="str">
        <x:v>4.2</x:v>
      </x:c>
      <x:c r="B77" s="63" t="str">
        <x:v>Akustický stropní panel bytového domu s podlahovým vytápěním</x:v>
      </x:c>
      <x:c r="C77" s="63" t="n">
        <x:v>4</x:v>
      </x:c>
      <x:c r="D77" s="63" t="str">
        <x:v>INTERIÉR → INTERIÉR</x:v>
      </x:c>
      <x:c r="E77" s="45" t="str">
        <x:v>dřevovláknitá deska 15mm</x:v>
      </x:c>
      <x:c r="F77" s="57" t="n">
        <x:v>15</x:v>
      </x:c>
      <x:c r="G77" s="57" t="n">
        <x:v>9</x:v>
      </x:c>
      <x:c r="H77" s="75" t="n">
        <x:v>0.048</x:v>
      </x:c>
      <x:c r="I77" s="54" t="str">
        <x:v>E</x:v>
      </x:c>
      <x:c r="J77" s="54" t="n">
        <x:v>8</x:v>
      </x:c>
      <x:c r="K77" s="45" t="str">
        <x:v>KATALOG DETAILU skladby.pdf</x:v>
      </x:c>
    </x:row>
    <x:row r="78" ht="30" customHeight="1">
      <x:c r="A78" s="63" t="str">
        <x:v>4.2</x:v>
      </x:c>
      <x:c r="B78" s="63" t="str">
        <x:v>Akustický stropní panel bytového domu s podlahovým vytápěním</x:v>
      </x:c>
      <x:c r="C78" s="63" t="n">
        <x:v>5</x:v>
      </x:c>
      <x:c r="D78" s="63" t="str">
        <x:v>INTERIÉR → INTERIÉR</x:v>
      </x:c>
      <x:c r="E78" s="45" t="str">
        <x:v>Fermacell voštinový zásyp</x:v>
      </x:c>
      <x:c r="F78" s="57" t="n">
        <x:v>60</x:v>
      </x:c>
      <x:c r="G78" s="57" t="n">
        <x:v>45</x:v>
      </x:c>
      <x:c r="H78" s="75" t="n">
        <x:v>0.09</x:v>
      </x:c>
      <x:c r="I78" s="54" t="str">
        <x:v>A1</x:v>
      </x:c>
      <x:c r="J78" s="54" t="n">
        <x:v>8</x:v>
      </x:c>
      <x:c r="K78" s="45" t="str">
        <x:v>KATALOG DETAILU skladby.pdf</x:v>
      </x:c>
    </x:row>
    <x:row r="79" ht="30" customHeight="1">
      <x:c r="A79" s="63" t="str">
        <x:v>4.2</x:v>
      </x:c>
      <x:c r="B79" s="63" t="str">
        <x:v>Akustický stropní panel bytového domu s podlahovým vytápěním</x:v>
      </x:c>
      <x:c r="C79" s="63" t="n">
        <x:v>6</x:v>
      </x:c>
      <x:c r="D79" s="63" t="str">
        <x:v>INTERIÉR → INTERIÉR</x:v>
      </x:c>
      <x:c r="E79" s="45" t="str">
        <x:v>OSB3 22mm</x:v>
      </x:c>
      <x:c r="F79" s="57" t="n">
        <x:v>22</x:v>
      </x:c>
      <x:c r="G79" s="57" t="n">
        <x:v>14</x:v>
      </x:c>
      <x:c r="H79" s="75" t="n">
        <x:v>0.13</x:v>
      </x:c>
      <x:c r="I79" s="54" t="str">
        <x:v>D-s2</x:v>
      </x:c>
      <x:c r="J79" s="54" t="n">
        <x:v>8</x:v>
      </x:c>
      <x:c r="K79" s="45" t="str">
        <x:v>KATALOG DETAILU skladby.pdf</x:v>
      </x:c>
    </x:row>
    <x:row r="80" ht="30" customHeight="1">
      <x:c r="A80" s="63" t="str">
        <x:v>4.2</x:v>
      </x:c>
      <x:c r="B80" s="63" t="str">
        <x:v>Akustický stropní panel bytového domu s podlahovým vytápěním</x:v>
      </x:c>
      <x:c r="C80" s="63" t="n">
        <x:v>7</x:v>
      </x:c>
      <x:c r="D80" s="63" t="str">
        <x:v>INTERIÉR → INTERIÉR</x:v>
      </x:c>
      <x:c r="E80" s="45" t="str">
        <x:v>KVH 60/240mm</x:v>
      </x:c>
      <x:c r="F80" s="57" t="n">
        <x:v>240</x:v>
      </x:c>
      <x:c r="G80" s="57" t="n">
        <x:v>13</x:v>
      </x:c>
      <x:c r="H80" s="75" t="n">
        <x:v>0.18</x:v>
      </x:c>
      <x:c r="I80" s="54" t="str">
        <x:v>C3</x:v>
      </x:c>
      <x:c r="J80" s="54" t="n">
        <x:v>8</x:v>
      </x:c>
      <x:c r="K80" s="45" t="str">
        <x:v>KATALOG DETAILU skladby.pdf</x:v>
      </x:c>
    </x:row>
    <x:row r="81" ht="30" customHeight="1">
      <x:c r="A81" s="63" t="str">
        <x:v>4.2</x:v>
      </x:c>
      <x:c r="B81" s="63" t="str">
        <x:v>Akustický stropní panel bytového domu s podlahovým vytápěním</x:v>
      </x:c>
      <x:c r="C81" s="63" t="n">
        <x:v>8</x:v>
      </x:c>
      <x:c r="D81" s="63" t="str">
        <x:v>INTERIÉR → INTERIÉR</x:v>
      </x:c>
      <x:c r="E81" s="45" t="str">
        <x:v>vyplnění rámu minerální izolací 140mm</x:v>
      </x:c>
      <x:c r="F81" s="57" t="str">
        <x:v>-</x:v>
      </x:c>
      <x:c r="G81" s="57" t="n">
        <x:v>6</x:v>
      </x:c>
      <x:c r="H81" s="75" t="n">
        <x:v>0.035</x:v>
      </x:c>
      <x:c r="I81" s="54" t="str">
        <x:v>A1</x:v>
      </x:c>
      <x:c r="J81" s="54" t="n">
        <x:v>8</x:v>
      </x:c>
      <x:c r="K81" s="45" t="str">
        <x:v>KATALOG DETAILU skladby.pdf</x:v>
      </x:c>
    </x:row>
    <x:row r="82" ht="30" customHeight="1">
      <x:c r="A82" s="63" t="str">
        <x:v>4.2</x:v>
      </x:c>
      <x:c r="B82" s="63" t="str">
        <x:v>Akustický stropní panel bytového domu s podlahovým vytápěním</x:v>
      </x:c>
      <x:c r="C82" s="63" t="n">
        <x:v>9</x:v>
      </x:c>
      <x:c r="D82" s="63" t="str">
        <x:v>INTERIÉR → INTERIÉR</x:v>
      </x:c>
      <x:c r="E82" s="45" t="str">
        <x:v>kovová konstrukce s akustickými závěsy</x:v>
      </x:c>
      <x:c r="F82" s="57" t="n">
        <x:v>60</x:v>
      </x:c>
      <x:c r="G82" s="57" t="n">
        <x:v>0.6</x:v>
      </x:c>
      <x:c r="H82" s="75" t="n">
        <x:v>0</x:v>
      </x:c>
      <x:c r="I82" s="54" t="str">
        <x:v>0</x:v>
      </x:c>
      <x:c r="J82" s="54" t="n">
        <x:v>8</x:v>
      </x:c>
      <x:c r="K82" s="45" t="str">
        <x:v>KATALOG DETAILU skladby.pdf</x:v>
      </x:c>
    </x:row>
    <x:row r="83" ht="30" customHeight="1">
      <x:c r="A83" s="63" t="str">
        <x:v>4.2</x:v>
      </x:c>
      <x:c r="B83" s="63" t="str">
        <x:v>Akustický stropní panel bytového domu s podlahovým vytápěním</x:v>
      </x:c>
      <x:c r="C83" s="63" t="n">
        <x:v>10</x:v>
      </x:c>
      <x:c r="D83" s="63" t="str">
        <x:v>INTERIÉR → INTERIÉR</x:v>
      </x:c>
      <x:c r="E83" s="45" t="str">
        <x:v>sádrovláknitá deska Fermacell 2x12,5mm</x:v>
      </x:c>
      <x:c r="F83" s="57" t="n">
        <x:v>25</x:v>
      </x:c>
      <x:c r="G83" s="57" t="n">
        <x:v>30</x:v>
      </x:c>
      <x:c r="H83" s="75" t="n">
        <x:v>0.32</x:v>
      </x:c>
      <x:c r="I83" s="54" t="str">
        <x:v>A2</x:v>
      </x:c>
      <x:c r="J83" s="54" t="n">
        <x:v>8</x:v>
      </x:c>
      <x:c r="K83" s="45" t="str">
        <x:v>KATALOG DETAILU skladby.pdf</x:v>
      </x:c>
    </x:row>
    <x:row r="84" ht="30" customHeight="1">
      <x:c r="A84" s="63" t="str">
        <x:v>5.1</x:v>
      </x:c>
      <x:c r="B84" s="63" t="str">
        <x:v>Střešní panel pro šikmou střechu s rámem 300 mm</x:v>
      </x:c>
      <x:c r="C84" s="63" t="n">
        <x:v>1</x:v>
      </x:c>
      <x:c r="D84" s="63" t="str">
        <x:v>EXTERIÉR → INTERIÉR</x:v>
      </x:c>
      <x:c r="E84" s="45" t="str">
        <x:v>plechová krytina Ruukki Classic C30</x:v>
      </x:c>
      <x:c r="F84" s="57" t="str">
        <x:v>X</x:v>
      </x:c>
      <x:c r="G84" s="57" t="n">
        <x:v>5.2</x:v>
      </x:c>
      <x:c r="H84" s="75" t="str">
        <x:v>X</x:v>
      </x:c>
      <x:c r="I84" s="54" t="str">
        <x:v>X</x:v>
      </x:c>
      <x:c r="J84" s="54" t="n">
        <x:v>9</x:v>
      </x:c>
      <x:c r="K84" s="45" t="str">
        <x:v>KATALOG DETAILU skladby.pdf</x:v>
      </x:c>
    </x:row>
    <x:row r="85" ht="30" customHeight="1">
      <x:c r="A85" s="63" t="str">
        <x:v>5.1</x:v>
      </x:c>
      <x:c r="B85" s="63" t="str">
        <x:v>Střešní panel pro šikmou střechu s rámem 300 mm</x:v>
      </x:c>
      <x:c r="C85" s="63" t="n">
        <x:v>2</x:v>
      </x:c>
      <x:c r="D85" s="63" t="str">
        <x:v>EXTERIÉR → INTERIÉR</x:v>
      </x:c>
      <x:c r="E85" s="45" t="str">
        <x:v>Prkenný záklop 24/120mm s mezerami 100mm</x:v>
      </x:c>
      <x:c r="F85" s="57" t="n">
        <x:v>24</x:v>
      </x:c>
      <x:c r="G85" s="57" t="n">
        <x:v>8</x:v>
      </x:c>
      <x:c r="H85" s="75" t="n">
        <x:v>0.18</x:v>
      </x:c>
      <x:c r="I85" s="54" t="str">
        <x:v>C3</x:v>
      </x:c>
      <x:c r="J85" s="54" t="n">
        <x:v>9</x:v>
      </x:c>
      <x:c r="K85" s="45" t="str">
        <x:v>KATALOG DETAILU skladby.pdf</x:v>
      </x:c>
    </x:row>
    <x:row r="86" ht="30" customHeight="1">
      <x:c r="A86" s="63" t="str">
        <x:v>5.1</x:v>
      </x:c>
      <x:c r="B86" s="63" t="str">
        <x:v>Střešní panel pro šikmou střechu s rámem 300 mm</x:v>
      </x:c>
      <x:c r="C86" s="63" t="n">
        <x:v>3</x:v>
      </x:c>
      <x:c r="D86" s="63" t="str">
        <x:v>EXTERIÉR → INTERIÉR</x:v>
      </x:c>
      <x:c r="E86" s="45" t="str">
        <x:v>kontralať 60/60mm + odvětrávaná mezera</x:v>
      </x:c>
      <x:c r="F86" s="57" t="n">
        <x:v>60</x:v>
      </x:c>
      <x:c r="G86" s="57" t="n">
        <x:v>1.5</x:v>
      </x:c>
      <x:c r="H86" s="75" t="n">
        <x:v>0.18</x:v>
      </x:c>
      <x:c r="I86" s="54" t="str">
        <x:v>C3</x:v>
      </x:c>
      <x:c r="J86" s="54" t="n">
        <x:v>9</x:v>
      </x:c>
      <x:c r="K86" s="45" t="str">
        <x:v>KATALOG DETAILU skladby.pdf</x:v>
      </x:c>
    </x:row>
    <x:row r="87" ht="30" customHeight="1">
      <x:c r="A87" s="63" t="str">
        <x:v>5.1</x:v>
      </x:c>
      <x:c r="B87" s="63" t="str">
        <x:v>Střešní panel pro šikmou střechu s rámem 300 mm</x:v>
      </x:c>
      <x:c r="C87" s="63" t="n">
        <x:v>4</x:v>
      </x:c>
      <x:c r="D87" s="63" t="str">
        <x:v>EXTERIÉR → INTERIÉR</x:v>
      </x:c>
      <x:c r="E87" s="45" t="str">
        <x:v>difůzní folie</x:v>
      </x:c>
      <x:c r="F87" s="57" t="n">
        <x:v>0.5</x:v>
      </x:c>
      <x:c r="G87" s="57" t="n">
        <x:v>0.5</x:v>
      </x:c>
      <x:c r="H87" s="75" t="str">
        <x:v>X</x:v>
      </x:c>
      <x:c r="I87" s="54" t="str">
        <x:v>X</x:v>
      </x:c>
      <x:c r="J87" s="54" t="n">
        <x:v>9</x:v>
      </x:c>
      <x:c r="K87" s="45" t="str">
        <x:v>KATALOG DETAILU skladby.pdf</x:v>
      </x:c>
    </x:row>
    <x:row r="88" ht="30" customHeight="1">
      <x:c r="A88" s="63" t="str">
        <x:v>5.1</x:v>
      </x:c>
      <x:c r="B88" s="63" t="str">
        <x:v>Střešní panel pro šikmou střechu s rámem 300 mm</x:v>
      </x:c>
      <x:c r="C88" s="63" t="n">
        <x:v>5</x:v>
      </x:c>
      <x:c r="D88" s="63" t="str">
        <x:v>EXTERIÉR → INTERIÉR</x:v>
      </x:c>
      <x:c r="E88" s="45" t="str">
        <x:v>DHF 15mm</x:v>
      </x:c>
      <x:c r="F88" s="57" t="n">
        <x:v>15</x:v>
      </x:c>
      <x:c r="G88" s="57" t="n">
        <x:v>9</x:v>
      </x:c>
      <x:c r="H88" s="75" t="n">
        <x:v>0.048</x:v>
      </x:c>
      <x:c r="I88" s="54" t="str">
        <x:v>E</x:v>
      </x:c>
      <x:c r="J88" s="54" t="n">
        <x:v>9</x:v>
      </x:c>
      <x:c r="K88" s="45" t="str">
        <x:v>KATALOG DETAILU skladby.pdf</x:v>
      </x:c>
    </x:row>
    <x:row r="89" ht="30" customHeight="1">
      <x:c r="A89" s="63" t="str">
        <x:v>5.1</x:v>
      </x:c>
      <x:c r="B89" s="63" t="str">
        <x:v>Střešní panel pro šikmou střechu s rámem 300 mm</x:v>
      </x:c>
      <x:c r="C89" s="63" t="n">
        <x:v>6</x:v>
      </x:c>
      <x:c r="D89" s="63" t="str">
        <x:v>EXTERIÉR → INTERIÉR</x:v>
      </x:c>
      <x:c r="E89" s="45" t="str">
        <x:v>LSH 60/300mm</x:v>
      </x:c>
      <x:c r="F89" s="57" t="n">
        <x:v>300</x:v>
      </x:c>
      <x:c r="G89" s="57" t="n">
        <x:v>20</x:v>
      </x:c>
      <x:c r="H89" s="75" t="n">
        <x:v>0.18</x:v>
      </x:c>
      <x:c r="I89" s="54" t="str">
        <x:v>C3</x:v>
      </x:c>
      <x:c r="J89" s="54" t="n">
        <x:v>9</x:v>
      </x:c>
      <x:c r="K89" s="45" t="str">
        <x:v>KATALOG DETAILU skladby.pdf</x:v>
      </x:c>
    </x:row>
    <x:row r="90" ht="30" customHeight="1">
      <x:c r="A90" s="63" t="str">
        <x:v>5.1</x:v>
      </x:c>
      <x:c r="B90" s="63" t="str">
        <x:v>Střešní panel pro šikmou střechu s rámem 300 mm</x:v>
      </x:c>
      <x:c r="C90" s="63" t="n">
        <x:v>7</x:v>
      </x:c>
      <x:c r="D90" s="63" t="str">
        <x:v>EXTERIÉR → INTERIÉR</x:v>
      </x:c>
      <x:c r="E90" s="45" t="str">
        <x:v>minerální izolace na tlouštku rámu</x:v>
      </x:c>
      <x:c r="F90" s="57" t="str">
        <x:v>-</x:v>
      </x:c>
      <x:c r="G90" s="57" t="str">
        <x:v>-</x:v>
      </x:c>
      <x:c r="H90" s="75" t="n">
        <x:v>0.035</x:v>
      </x:c>
      <x:c r="I90" s="54" t="str">
        <x:v>A1</x:v>
      </x:c>
      <x:c r="J90" s="54" t="n">
        <x:v>9</x:v>
      </x:c>
      <x:c r="K90" s="45" t="str">
        <x:v>KATALOG DETAILU skladby.pdf</x:v>
      </x:c>
    </x:row>
    <x:row r="91" ht="30" customHeight="1">
      <x:c r="A91" s="63" t="str">
        <x:v>5.1</x:v>
      </x:c>
      <x:c r="B91" s="63" t="str">
        <x:v>Střešní panel pro šikmou střechu s rámem 300 mm</x:v>
      </x:c>
      <x:c r="C91" s="63" t="n">
        <x:v>8</x:v>
      </x:c>
      <x:c r="D91" s="63" t="str">
        <x:v>EXTERIÉR → INTERIÉR</x:v>
      </x:c>
      <x:c r="E91" s="45" t="str">
        <x:v>parozábrana</x:v>
      </x:c>
      <x:c r="F91" s="57" t="n">
        <x:v>0.5</x:v>
      </x:c>
      <x:c r="G91" s="57" t="n">
        <x:v>1</x:v>
      </x:c>
      <x:c r="H91" s="75" t="str">
        <x:v>X</x:v>
      </x:c>
      <x:c r="I91" s="54" t="str">
        <x:v>X</x:v>
      </x:c>
      <x:c r="J91" s="54" t="n">
        <x:v>9</x:v>
      </x:c>
      <x:c r="K91" s="45" t="str">
        <x:v>KATALOG DETAILU skladby.pdf</x:v>
      </x:c>
    </x:row>
    <x:row r="92" ht="30" customHeight="1">
      <x:c r="A92" s="63" t="str">
        <x:v>5.1</x:v>
      </x:c>
      <x:c r="B92" s="63" t="str">
        <x:v>Střešní panel pro šikmou střechu s rámem 300 mm</x:v>
      </x:c>
      <x:c r="C92" s="63" t="n">
        <x:v>9</x:v>
      </x:c>
      <x:c r="D92" s="63" t="str">
        <x:v>EXTERIÉR → INTERIÉR</x:v>
      </x:c>
      <x:c r="E92" s="45" t="str">
        <x:v>rošt latě 60/40mm, rozteč 400mm</x:v>
      </x:c>
      <x:c r="F92" s="57" t="n">
        <x:v>40</x:v>
      </x:c>
      <x:c r="G92" s="57" t="n">
        <x:v>1.2</x:v>
      </x:c>
      <x:c r="H92" s="75" t="n">
        <x:v>0.18</x:v>
      </x:c>
      <x:c r="I92" s="54" t="str">
        <x:v>C3</x:v>
      </x:c>
      <x:c r="J92" s="54" t="n">
        <x:v>9</x:v>
      </x:c>
      <x:c r="K92" s="45" t="str">
        <x:v>KATALOG DETAILU skladby.pdf</x:v>
      </x:c>
    </x:row>
    <x:row r="93" ht="30" customHeight="1">
      <x:c r="A93" s="63" t="str">
        <x:v>5.1</x:v>
      </x:c>
      <x:c r="B93" s="63" t="str">
        <x:v>Střešní panel pro šikmou střechu s rámem 300 mm</x:v>
      </x:c>
      <x:c r="C93" s="63" t="n">
        <x:v>10</x:v>
      </x:c>
      <x:c r="D93" s="63" t="str">
        <x:v>EXTERIÉR → INTERIÉR</x:v>
      </x:c>
      <x:c r="E93" s="45" t="str">
        <x:v>sádrokartonová deska 15 mm</x:v>
      </x:c>
      <x:c r="F93" s="57" t="n">
        <x:v>15</x:v>
      </x:c>
      <x:c r="G93" s="57" t="n">
        <x:v>11.2</x:v>
      </x:c>
      <x:c r="H93" s="75" t="n">
        <x:v>0.21</x:v>
      </x:c>
      <x:c r="I93" s="54" t="str">
        <x:v>A2</x:v>
      </x:c>
      <x:c r="J93" s="54" t="n">
        <x:v>9</x:v>
      </x:c>
      <x:c r="K93" s="45" t="str">
        <x:v>KATALOG DETAILU skladby.pdf</x:v>
      </x:c>
    </x:row>
    <x:row r="94" ht="30" customHeight="1">
      <x:c r="A94" s="63" t="str">
        <x:v>5.2</x:v>
      </x:c>
      <x:c r="B94" s="63" t="str">
        <x:v>Střešní panel pro plochou střechu s EPS izolací a rámem 240 mm</x:v>
      </x:c>
      <x:c r="C94" s="63" t="n">
        <x:v>1</x:v>
      </x:c>
      <x:c r="D94" s="63" t="str">
        <x:v>EXTERIÉR → INTERIÉR</x:v>
      </x:c>
      <x:c r="E94" s="45" t="str">
        <x:v>mPVC folie (mechanicky kotvená) 1,5mm</x:v>
      </x:c>
      <x:c r="F94" s="57" t="n">
        <x:v>1.5</x:v>
      </x:c>
      <x:c r="G94" s="57" t="n">
        <x:v>0.7</x:v>
      </x:c>
      <x:c r="H94" s="75" t="str">
        <x:v>X</x:v>
      </x:c>
      <x:c r="I94" s="54" t="str">
        <x:v>B ROOF (t3)</x:v>
      </x:c>
      <x:c r="J94" s="54" t="n">
        <x:v>10</x:v>
      </x:c>
      <x:c r="K94" s="45" t="str">
        <x:v>KATALOG DETAILU skladby.pdf</x:v>
      </x:c>
    </x:row>
    <x:row r="95" ht="30" customHeight="1">
      <x:c r="A95" s="63" t="str">
        <x:v>5.2</x:v>
      </x:c>
      <x:c r="B95" s="63" t="str">
        <x:v>Střešní panel pro plochou střechu s EPS izolací a rámem 240 mm</x:v>
      </x:c>
      <x:c r="C95" s="63" t="n">
        <x:v>2</x:v>
      </x:c>
      <x:c r="D95" s="63" t="str">
        <x:v>EXTERIÉR → INTERIÉR</x:v>
      </x:c>
      <x:c r="E95" s="45" t="str">
        <x:v>Separační geotextilie 300g/m2</x:v>
      </x:c>
      <x:c r="F95" s="57" t="str">
        <x:v>X</x:v>
      </x:c>
      <x:c r="G95" s="57" t="n">
        <x:v>0.3</x:v>
      </x:c>
      <x:c r="H95" s="75" t="str">
        <x:v>X</x:v>
      </x:c>
      <x:c r="I95" s="54" t="str">
        <x:v>X</x:v>
      </x:c>
      <x:c r="J95" s="54" t="n">
        <x:v>10</x:v>
      </x:c>
      <x:c r="K95" s="45" t="str">
        <x:v>KATALOG DETAILU skladby.pdf</x:v>
      </x:c>
    </x:row>
    <x:row r="96" ht="30" customHeight="1">
      <x:c r="A96" s="63" t="str">
        <x:v>5.2</x:v>
      </x:c>
      <x:c r="B96" s="63" t="str">
        <x:v>Střešní panel pro plochou střechu s EPS izolací a rámem 240 mm</x:v>
      </x:c>
      <x:c r="C96" s="63" t="n">
        <x:v>3</x:v>
      </x:c>
      <x:c r="D96" s="63" t="str">
        <x:v>EXTERIÉR → INTERIÉR</x:v>
      </x:c>
      <x:c r="E96" s="45" t="str">
        <x:v>EPS 240 mm + spádová vrstva</x:v>
      </x:c>
      <x:c r="F96" s="57" t="n">
        <x:v>240</x:v>
      </x:c>
      <x:c r="G96" s="57" t="n">
        <x:v>5</x:v>
      </x:c>
      <x:c r="H96" s="75" t="n">
        <x:v>0.037</x:v>
      </x:c>
      <x:c r="I96" s="54" t="str">
        <x:v>E</x:v>
      </x:c>
      <x:c r="J96" s="54" t="n">
        <x:v>10</x:v>
      </x:c>
      <x:c r="K96" s="45" t="str">
        <x:v>KATALOG DETAILU skladby.pdf</x:v>
      </x:c>
    </x:row>
    <x:row r="97" ht="30" customHeight="1">
      <x:c r="A97" s="63" t="str">
        <x:v>5.2</x:v>
      </x:c>
      <x:c r="B97" s="63" t="str">
        <x:v>Střešní panel pro plochou střechu s EPS izolací a rámem 240 mm</x:v>
      </x:c>
      <x:c r="C97" s="63" t="n">
        <x:v>4</x:v>
      </x:c>
      <x:c r="D97" s="63" t="str">
        <x:v>EXTERIÉR → INTERIÉR</x:v>
      </x:c>
      <x:c r="E97" s="45" t="str">
        <x:v>Asfaltový modifikovaný pás 3mm</x:v>
      </x:c>
      <x:c r="F97" s="57" t="n">
        <x:v>3</x:v>
      </x:c>
      <x:c r="G97" s="57" t="n">
        <x:v>0.5</x:v>
      </x:c>
      <x:c r="H97" s="75" t="str">
        <x:v>X</x:v>
      </x:c>
      <x:c r="I97" s="54" t="str">
        <x:v>X</x:v>
      </x:c>
      <x:c r="J97" s="54" t="n">
        <x:v>10</x:v>
      </x:c>
      <x:c r="K97" s="45" t="str">
        <x:v>KATALOG DETAILU skladby.pdf</x:v>
      </x:c>
    </x:row>
    <x:row r="98" ht="30" customHeight="1">
      <x:c r="A98" s="63" t="str">
        <x:v>5.2</x:v>
      </x:c>
      <x:c r="B98" s="63" t="str">
        <x:v>Střešní panel pro plochou střechu s EPS izolací a rámem 240 mm</x:v>
      </x:c>
      <x:c r="C98" s="63" t="n">
        <x:v>5</x:v>
      </x:c>
      <x:c r="D98" s="63" t="str">
        <x:v>EXTERIÉR → INTERIÉR</x:v>
      </x:c>
      <x:c r="E98" s="45" t="str">
        <x:v>OSB 25mm</x:v>
      </x:c>
      <x:c r="F98" s="57" t="n">
        <x:v>25</x:v>
      </x:c>
      <x:c r="G98" s="57" t="n">
        <x:v>14</x:v>
      </x:c>
      <x:c r="H98" s="75" t="n">
        <x:v>0.13</x:v>
      </x:c>
      <x:c r="I98" s="54" t="str">
        <x:v>D-s2</x:v>
      </x:c>
      <x:c r="J98" s="54" t="n">
        <x:v>10</x:v>
      </x:c>
      <x:c r="K98" s="45" t="str">
        <x:v>KATALOG DETAILU skladby.pdf</x:v>
      </x:c>
    </x:row>
    <x:row r="99" ht="30" customHeight="1">
      <x:c r="A99" s="63" t="str">
        <x:v>5.2</x:v>
      </x:c>
      <x:c r="B99" s="63" t="str">
        <x:v>Střešní panel pro plochou střechu s EPS izolací a rámem 240 mm</x:v>
      </x:c>
      <x:c r="C99" s="63" t="n">
        <x:v>6</x:v>
      </x:c>
      <x:c r="D99" s="63" t="str">
        <x:v>EXTERIÉR → INTERIÉR</x:v>
      </x:c>
      <x:c r="E99" s="45" t="str">
        <x:v>KVH 60/240mm + vzduchová mezera</x:v>
      </x:c>
      <x:c r="F99" s="57" t="n">
        <x:v>240</x:v>
      </x:c>
      <x:c r="G99" s="57" t="n">
        <x:v>13</x:v>
      </x:c>
      <x:c r="H99" s="75" t="n">
        <x:v>0.18</x:v>
      </x:c>
      <x:c r="I99" s="54" t="str">
        <x:v>C3</x:v>
      </x:c>
      <x:c r="J99" s="54" t="n">
        <x:v>10</x:v>
      </x:c>
      <x:c r="K99" s="45" t="str">
        <x:v>KATALOG DETAILU skladby.pdf</x:v>
      </x:c>
    </x:row>
    <x:row r="100" ht="30" customHeight="1">
      <x:c r="A100" s="63" t="str">
        <x:v>5.2</x:v>
      </x:c>
      <x:c r="B100" s="63" t="str">
        <x:v>Střešní panel pro plochou střechu s EPS izolací a rámem 240 mm</x:v>
      </x:c>
      <x:c r="C100" s="63" t="n">
        <x:v>7</x:v>
      </x:c>
      <x:c r="D100" s="63" t="str">
        <x:v>EXTERIÉR → INTERIÉR</x:v>
      </x:c>
      <x:c r="E100" s="45" t="str">
        <x:v>rošt latě 60/40mm, rozteč 400mm</x:v>
      </x:c>
      <x:c r="F100" s="57" t="n">
        <x:v>40</x:v>
      </x:c>
      <x:c r="G100" s="57" t="n">
        <x:v>1.2</x:v>
      </x:c>
      <x:c r="H100" s="75" t="n">
        <x:v>0.18</x:v>
      </x:c>
      <x:c r="I100" s="54" t="str">
        <x:v>C3</x:v>
      </x:c>
      <x:c r="J100" s="54" t="n">
        <x:v>10</x:v>
      </x:c>
      <x:c r="K100" s="45" t="str">
        <x:v>KATALOG DETAILU skladby.pdf</x:v>
      </x:c>
    </x:row>
    <x:row r="101" ht="30" customHeight="1">
      <x:c r="A101" s="64" t="str">
        <x:v>5.2</x:v>
      </x:c>
      <x:c r="B101" s="64" t="str">
        <x:v>Střešní panel pro plochou střechu s EPS izolací a rámem 240 mm</x:v>
      </x:c>
      <x:c r="C101" s="64" t="n">
        <x:v>8</x:v>
      </x:c>
      <x:c r="D101" s="64" t="str">
        <x:v>EXTERIÉR → INTERIÉR</x:v>
      </x:c>
      <x:c r="E101" s="46" t="str">
        <x:v>sádrokartonová deska 15 mm</x:v>
      </x:c>
      <x:c r="F101" s="58" t="n">
        <x:v>15</x:v>
      </x:c>
      <x:c r="G101" s="58" t="n">
        <x:v>11.2</x:v>
      </x:c>
      <x:c r="H101" s="76" t="n">
        <x:v>0.21</x:v>
      </x:c>
      <x:c r="I101" s="55" t="str">
        <x:v>A2</x:v>
      </x:c>
      <x:c r="J101" s="55" t="n">
        <x:v>10</x:v>
      </x:c>
      <x:c r="K101" s="46" t="str">
        <x:v>KATALOG DETAILU skladby.pdf</x:v>
      </x:c>
    </x:row>
  </x:sheetData>
  <x:mergeCells>
    <x:mergeCell ref="A1:K1"/>
    <x:mergeCell ref="A2:K2"/>
    <x:mergeCell ref="A3:B3"/>
    <x:mergeCell ref="D3:E3"/>
    <x:mergeCell ref="G3:H3"/>
    <x:mergeCell ref="J3:K3"/>
  </x:mergeCells>
  <x:pageMargins left="0.7" right="0.7" top="0.75" bottom="0.75" header="0.3" footer="0.3"/>
  <x:tableParts count="1">
    <x:tablePart xmlns:r="http://schemas.openxmlformats.org/officeDocument/2006/relationships" r:id="R3a5fd046fa474b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0" hidden="0" customWidth="1"/>
    <x:col min="3" max="3" width="39" hidden="0" customWidth="1"/>
    <x:col min="4" max="4" width="39" hidden="0" customWidth="1"/>
    <x:col min="5" max="5" width="20" hidden="0" customWidth="1"/>
    <x:col min="6" max="6" width="11" hidden="0" customWidth="1"/>
    <x:col min="7" max="7" width="17" hidden="0" customWidth="1"/>
    <x:col min="8" max="8" width="12" hidden="0" customWidth="1"/>
    <x:col min="9" max="9" width="11" hidden="0" customWidth="1"/>
    <x:col min="10" max="10" width="11" hidden="0" customWidth="1"/>
    <x:col min="11" max="11" width="54" hidden="0" customWidth="1"/>
    <x:col min="12" max="12" width="12" hidden="0" customWidth="1"/>
    <x:col min="13" max="13" width="54" hidden="0" customWidth="1"/>
    <x:col min="14" max="14" width="18" hidden="0" customWidth="1"/>
    <x:col min="15" max="15" width="14" hidden="0" customWidth="1"/>
  </x:cols>
  <x:sheetData>
    <x:row r="1" ht="34" customHeight="1">
      <x:c r="A1" s="4" t="str">
        <x:v>Výkresová metadata a soubory obrázků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4" customHeight="1">
      <x:c r="A2" s="8" t="str">
        <x:v>Cesty jsou relativní vůči kořenové složce balíčku. U dvou skladeb je namísto 3D obrázku vložen jednoznačně pojmenovaný textový záznam, protože zdrojové PDF 3D pohled neobsahuje.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0" customHeight="1">
      <x:c r="A3" s="26" t="str">
        <x:v>2D nákresy</x:v>
      </x:c>
      <x:c r="B3" s="26"/>
      <x:c r="C3" s="29" t="n">
        <x:v>10</x:v>
      </x:c>
      <x:c r="D3" s="12" t="str">
        <x:v>3D obrázky</x:v>
      </x:c>
      <x:c r="E3" s="12"/>
      <x:c r="F3" s="15" t="n">
        <x:v>8</x:v>
      </x:c>
      <x:c r="G3" s="33" t="str">
        <x:v>Chybějící 3D</x:v>
      </x:c>
      <x:c r="H3" s="33"/>
      <x:c r="I3" s="36" t="n">
        <x:v>2</x:v>
      </x:c>
      <x:c r="J3" s="79" t="str">
        <x:v>Názvy souborů jsou vytvořeny z navržených uživatelských názvů bez diakritiky a s pořadovým prefixem.</x:v>
      </x:c>
      <x:c r="K3" s="79"/>
      <x:c r="L3" s="79"/>
      <x:c r="M3" s="79"/>
      <x:c r="N3" s="79"/>
      <x:c r="O3" s="79"/>
    </x:row>
    <x:row r="5" ht="38" customHeight="1">
      <x:c r="A5" s="52" t="str">
        <x:v>Kód katalogu</x:v>
      </x:c>
      <x:c r="B5" s="52" t="str">
        <x:v>Navržený uživatelský název</x:v>
      </x:c>
      <x:c r="C5" s="52" t="str">
        <x:v>Název výkresu – řádek 1</x:v>
      </x:c>
      <x:c r="D5" s="52" t="str">
        <x:v>Název výkresu – řádek 2</x:v>
      </x:c>
      <x:c r="E5" s="52" t="str">
        <x:v>Číslo výkresu</x:v>
      </x:c>
      <x:c r="F5" s="52" t="str">
        <x:v>Kreslil</x:v>
      </x:c>
      <x:c r="G5" s="52" t="str">
        <x:v>Datum</x:v>
      </x:c>
      <x:c r="H5" s="52" t="str">
        <x:v>Revize</x:v>
      </x:c>
      <x:c r="I5" s="52" t="str">
        <x:v>Měřítko</x:v>
      </x:c>
      <x:c r="J5" s="52" t="str">
        <x:v>Strana PDF</x:v>
      </x:c>
      <x:c r="K5" s="52" t="str">
        <x:v>Soubor 2D bez kót</x:v>
      </x:c>
      <x:c r="L5" s="52" t="str">
        <x:v>Stav 2D</x:v>
      </x:c>
      <x:c r="M5" s="52" t="str">
        <x:v>Soubor 3D / záznam</x:v>
      </x:c>
      <x:c r="N5" s="52" t="str">
        <x:v>Stav 3D</x:v>
      </x:c>
      <x:c r="O5" s="52" t="str">
        <x:v>3D ve zdroji</x:v>
      </x:c>
    </x:row>
    <x:row r="6" ht="64" customHeight="1">
      <x:c r="A6" s="62" t="str">
        <x:v>1.1</x:v>
      </x:c>
      <x:c r="B6" s="44" t="str">
        <x:v>Obvodový stěnový panel s kontaktním zateplením a omítkovou fasádou</x:v>
      </x:c>
      <x:c r="C6" s="44" t="str">
        <x:v>OBVODOVÁ STĚNA_ OMÍTKOVÝ SYSTÉM (THERMOFASÁDA)</x:v>
      </x:c>
      <x:c r="D6" s="44" t="str">
        <x:v>SKLADBA STĚNY V ŘEZU</x:v>
      </x:c>
      <x:c r="E6" s="44" t="str">
        <x:v>02_OS_160TMF_001</x:v>
      </x:c>
      <x:c r="F6" s="62" t="str">
        <x:v>VESPER</x:v>
      </x:c>
      <x:c r="G6" s="62" t="str">
        <x:v>04.05.2022 (zdroj)</x:v>
      </x:c>
      <x:c r="H6" s="89" t="str">
        <x:v>01 (zdroj)</x:v>
      </x:c>
      <x:c r="I6" s="62" t="str">
        <x:v>M 1:8</x:v>
      </x:c>
      <x:c r="J6" s="62" t="n">
        <x:v>1</x:v>
      </x:c>
      <x:c r="K6" s="44" t="str">
        <x:v>obrazky/2D_bez_kot/01_Obvodovy-stenovy-panel-s-kontaktnim-zateplenim-a-omitkovou-fasadou_2D_bez-kot.png</x:v>
      </x:c>
      <x:c r="L6" s="83" t="str">
        <x:v>ANO</x:v>
      </x:c>
      <x:c r="M6" s="44" t="str">
        <x:v>obrazky/3D_rezy/01_Obvodovy-stenovy-panel-s-kontaktnim-zateplenim-a-omitkovou-fasadou_3D-rez.jpg</x:v>
      </x:c>
      <x:c r="N6" s="86" t="str">
        <x:v>ANO</x:v>
      </x:c>
      <x:c r="O6" s="44" t="str">
        <x:v>ANO</x:v>
      </x:c>
    </x:row>
    <x:row r="7" ht="64" customHeight="1">
      <x:c r="A7" s="63" t="str">
        <x:v>1.2</x:v>
      </x:c>
      <x:c r="B7" s="45" t="str">
        <x:v>Obvodový stěnový panel s provětrávanou dřevěnou fasádou</x:v>
      </x:c>
      <x:c r="C7" s="45" t="str">
        <x:v>OBVODOVÁ STĚNA_ DŘEVĚNÝ OBKLAD SVISLE</x:v>
      </x:c>
      <x:c r="D7" s="45" t="str">
        <x:v>SKLADBA STĚNY V ŘEZU</x:v>
      </x:c>
      <x:c r="E7" s="45" t="str">
        <x:v>02_OS_240DOV_001</x:v>
      </x:c>
      <x:c r="F7" s="63" t="str">
        <x:v>VESPER</x:v>
      </x:c>
      <x:c r="G7" s="63" t="str">
        <x:v>04.05.2022 (zdroj)</x:v>
      </x:c>
      <x:c r="H7" s="90" t="str">
        <x:v>01 (zdroj)</x:v>
      </x:c>
      <x:c r="I7" s="63" t="str">
        <x:v>M 1:8</x:v>
      </x:c>
      <x:c r="J7" s="63" t="n">
        <x:v>2</x:v>
      </x:c>
      <x:c r="K7" s="45" t="str">
        <x:v>obrazky/2D_bez_kot/02_Obvodovy-stenovy-panel-s-provetravanou-drevenou-fasadou_2D_bez-kot.png</x:v>
      </x:c>
      <x:c r="L7" s="84" t="str">
        <x:v>ANO</x:v>
      </x:c>
      <x:c r="M7" s="45" t="str">
        <x:v>obrazky/3D_rezy/02_Obvodovy-stenovy-panel-s-provetravanou-drevenou-fasadou_3D-rez.jpg</x:v>
      </x:c>
      <x:c r="N7" s="87" t="str">
        <x:v>ANO</x:v>
      </x:c>
      <x:c r="O7" s="45" t="str">
        <x:v>ANO</x:v>
      </x:c>
    </x:row>
    <x:row r="8" ht="64" customHeight="1">
      <x:c r="A8" s="63" t="str">
        <x:v>1.3</x:v>
      </x:c>
      <x:c r="B8" s="45" t="str">
        <x:v>Obvodový stěnový panel DP1 s ocelovým rámem a omítkovou fasádou</x:v>
      </x:c>
      <x:c r="C8" s="45" t="str">
        <x:v>OBVODOVÁ STĚNA_ DP1 STĚNA (THERMOFASÁDA)</x:v>
      </x:c>
      <x:c r="D8" s="45" t="str">
        <x:v>SKLADBA STĚNY V ŘEZU</x:v>
      </x:c>
      <x:c r="E8" s="45" t="str">
        <x:v>02_OS_120DP1_001</x:v>
      </x:c>
      <x:c r="F8" s="63" t="str">
        <x:v>VESPER</x:v>
      </x:c>
      <x:c r="G8" s="63" t="str">
        <x:v>04.05.2022 (zdroj)</x:v>
      </x:c>
      <x:c r="H8" s="90" t="str">
        <x:v>01 (zdroj)</x:v>
      </x:c>
      <x:c r="I8" s="63" t="str">
        <x:v>M 1:5</x:v>
      </x:c>
      <x:c r="J8" s="63" t="n">
        <x:v>3</x:v>
      </x:c>
      <x:c r="K8" s="45" t="str">
        <x:v>obrazky/2D_bez_kot/03_Obvodovy-stenovy-panel-DP1-s-ocelovym-ramem-a-omitkovou-fasadou_2D_bez-kot.png</x:v>
      </x:c>
      <x:c r="L8" s="84" t="str">
        <x:v>ANO</x:v>
      </x:c>
      <x:c r="M8" s="45" t="str">
        <x:v>obrazky/3D_rezy/03_Obvodovy-stenovy-panel-DP1-s-ocelovym-ramem-a-omitkovou-fasadou_3D_CHYBI_VE_ZDROJI.txt</x:v>
      </x:c>
      <x:c r="N8" s="87" t="str">
        <x:v>CHYBÍ VE ZDROJI</x:v>
      </x:c>
      <x:c r="O8" s="45" t="str">
        <x:v>NE</x:v>
      </x:c>
    </x:row>
    <x:row r="9" ht="64" customHeight="1">
      <x:c r="A9" s="63" t="str">
        <x:v>2.1</x:v>
      </x:c>
      <x:c r="B9" s="45" t="str">
        <x:v>Vnitřní nosný stěnový panel s KVH rámem 120 mm</x:v>
      </x:c>
      <x:c r="C9" s="45" t="str">
        <x:v>VNITŘNÍ STĚNA</x:v>
      </x:c>
      <x:c r="D9" s="45" t="str">
        <x:v>SKLADBA STĚNY V ŘEZU_ REFERENČNÍ RÁM 120mm</x:v>
      </x:c>
      <x:c r="E9" s="45" t="str">
        <x:v>03_VS_120_001</x:v>
      </x:c>
      <x:c r="F9" s="63" t="str">
        <x:v>VESPER</x:v>
      </x:c>
      <x:c r="G9" s="63" t="str">
        <x:v>04.05.2022 (zdroj)</x:v>
      </x:c>
      <x:c r="H9" s="90" t="str">
        <x:v>01 (zdroj)</x:v>
      </x:c>
      <x:c r="I9" s="63" t="str">
        <x:v>M 1:8</x:v>
      </x:c>
      <x:c r="J9" s="63" t="n">
        <x:v>4</x:v>
      </x:c>
      <x:c r="K9" s="45" t="str">
        <x:v>obrazky/2D_bez_kot/04_Vnitrni-nosny-stenovy-panel-s-KVH-ramem-120-mm_2D_bez-kot.png</x:v>
      </x:c>
      <x:c r="L9" s="84" t="str">
        <x:v>ANO</x:v>
      </x:c>
      <x:c r="M9" s="45" t="str">
        <x:v>obrazky/3D_rezy/04_Vnitrni-nosny-stenovy-panel-s-KVH-ramem-120-mm_3D-rez.jpg</x:v>
      </x:c>
      <x:c r="N9" s="87" t="str">
        <x:v>ANO</x:v>
      </x:c>
      <x:c r="O9" s="45" t="str">
        <x:v>ANO</x:v>
      </x:c>
    </x:row>
    <x:row r="10" ht="64" customHeight="1">
      <x:c r="A10" s="63" t="str">
        <x:v>2.2</x:v>
      </x:c>
      <x:c r="B10" s="45" t="str">
        <x:v>Vnitřní akustická a požárně dělicí dvojitá stěna 2×120 mm</x:v>
      </x:c>
      <x:c r="C10" s="45" t="str">
        <x:v>VNITŘNÍ STĚNA_ AKUSTICKÝ DĚLICÍ STĚNA</x:v>
      </x:c>
      <x:c r="D10" s="45" t="str">
        <x:v>SKLADBA STĚNY V ŘEZU_ REFERENČNÍ RÁM 2x120mm</x:v>
      </x:c>
      <x:c r="E10" s="45" t="str">
        <x:v>03_VS_2X120_001</x:v>
      </x:c>
      <x:c r="F10" s="63" t="str">
        <x:v>VESPER</x:v>
      </x:c>
      <x:c r="G10" s="63" t="str">
        <x:v>04.05.2022 (zdroj)</x:v>
      </x:c>
      <x:c r="H10" s="90" t="str">
        <x:v>01 (zdroj)</x:v>
      </x:c>
      <x:c r="I10" s="63" t="str">
        <x:v>M 1:5</x:v>
      </x:c>
      <x:c r="J10" s="63" t="n">
        <x:v>5</x:v>
      </x:c>
      <x:c r="K10" s="45" t="str">
        <x:v>obrazky/2D_bez_kot/05_Vnitrni-akusticka-a-pozarne-delici-dvojita-stena-2x120-mm_2D_bez-kot.png</x:v>
      </x:c>
      <x:c r="L10" s="84" t="str">
        <x:v>ANO</x:v>
      </x:c>
      <x:c r="M10" s="45" t="str">
        <x:v>obrazky/3D_rezy/05_Vnitrni-akusticka-a-pozarne-delici-dvojita-stena-2x120-mm_3D-rez.jpg</x:v>
      </x:c>
      <x:c r="N10" s="87" t="str">
        <x:v>ANO</x:v>
      </x:c>
      <x:c r="O10" s="45" t="str">
        <x:v>ANO</x:v>
      </x:c>
    </x:row>
    <x:row r="11" ht="64" customHeight="1">
      <x:c r="A11" s="63" t="str">
        <x:v>3.1</x:v>
      </x:c>
      <x:c r="B11" s="45" t="str">
        <x:v>Podlahová skladba nad základy s teplovodním vytápěním</x:v>
      </x:c>
      <x:c r="C11" s="45" t="str">
        <x:v>PODLAHA 1. NP</x:v>
      </x:c>
      <x:c r="D11" s="45" t="str">
        <x:v>ŘEZ SKLADBY NAD ZÁKLADY S TEPLOVODNÍM VYTÁPĚNÍM</x:v>
      </x:c>
      <x:c r="E11" s="45" t="str">
        <x:v>04_PS_2201NP_001</x:v>
      </x:c>
      <x:c r="F11" s="63" t="str">
        <x:v>VESPER</x:v>
      </x:c>
      <x:c r="G11" s="63" t="str">
        <x:v>04.05.2022 (zdroj)</x:v>
      </x:c>
      <x:c r="H11" s="90" t="str">
        <x:v>01 (zdroj)</x:v>
      </x:c>
      <x:c r="I11" s="63" t="str">
        <x:v>M 1:8</x:v>
      </x:c>
      <x:c r="J11" s="63" t="n">
        <x:v>6</x:v>
      </x:c>
      <x:c r="K11" s="45" t="str">
        <x:v>obrazky/2D_bez_kot/06_Podlahova-skladba-nad-zaklady-s-teplovodnim-vytapenim_2D_bez-kot.png</x:v>
      </x:c>
      <x:c r="L11" s="84" t="str">
        <x:v>ANO</x:v>
      </x:c>
      <x:c r="M11" s="45" t="str">
        <x:v>obrazky/3D_rezy/06_Podlahova-skladba-nad-zaklady-s-teplovodnim-vytapenim_3D-rez.jpg</x:v>
      </x:c>
      <x:c r="N11" s="87" t="str">
        <x:v>ANO</x:v>
      </x:c>
      <x:c r="O11" s="45" t="str">
        <x:v>ANO</x:v>
      </x:c>
    </x:row>
    <x:row r="12" ht="64" customHeight="1">
      <x:c r="A12" s="63" t="str">
        <x:v>4.1</x:v>
      </x:c>
      <x:c r="B12" s="45" t="str">
        <x:v>Stropní panel rodinného domu s podlahovým vytápěním</x:v>
      </x:c>
      <x:c r="C12" s="45" t="str">
        <x:v>STROP A PODLAHA 2. NP_ RODINNÝ DŮM</x:v>
      </x:c>
      <x:c r="D12" s="45" t="str">
        <x:v>ŘEZ SKLADBY V PATŘE S TEPLOVODNÍM VYTÁPĚNÍM</x:v>
      </x:c>
      <x:c r="E12" s="45" t="str">
        <x:v>04_PS_1152NP_001</x:v>
      </x:c>
      <x:c r="F12" s="63" t="str">
        <x:v>VESPER</x:v>
      </x:c>
      <x:c r="G12" s="63" t="str">
        <x:v>04.05.2022 (zdroj)</x:v>
      </x:c>
      <x:c r="H12" s="90" t="str">
        <x:v>01 (zdroj)</x:v>
      </x:c>
      <x:c r="I12" s="63" t="str">
        <x:v>M 1:8</x:v>
      </x:c>
      <x:c r="J12" s="63" t="n">
        <x:v>7</x:v>
      </x:c>
      <x:c r="K12" s="45" t="str">
        <x:v>obrazky/2D_bez_kot/07_Stropni-panel-rodinneho-domu-s-podlahovym-vytapenim_2D_bez-kot.png</x:v>
      </x:c>
      <x:c r="L12" s="84" t="str">
        <x:v>ANO</x:v>
      </x:c>
      <x:c r="M12" s="45" t="str">
        <x:v>obrazky/3D_rezy/07_Stropni-panel-rodinneho-domu-s-podlahovym-vytapenim_3D-rez.jpg</x:v>
      </x:c>
      <x:c r="N12" s="87" t="str">
        <x:v>ANO</x:v>
      </x:c>
      <x:c r="O12" s="45" t="str">
        <x:v>ANO</x:v>
      </x:c>
    </x:row>
    <x:row r="13" ht="64" customHeight="1">
      <x:c r="A13" s="63" t="str">
        <x:v>4.2</x:v>
      </x:c>
      <x:c r="B13" s="45" t="str">
        <x:v>Akustický stropní panel bytového domu s podlahovým vytápěním</x:v>
      </x:c>
      <x:c r="C13" s="45" t="str">
        <x:v>STROP A PODLAHA 2. NP_ BYTOVÝ DŮM</x:v>
      </x:c>
      <x:c r="D13" s="45" t="str">
        <x:v>ŘEZ SKLADBY V PATŘE S TEPLOVODNÍM VYTÁPĚNÍM</x:v>
      </x:c>
      <x:c r="E13" s="45" t="str">
        <x:v>04_PS_1452NP_001</x:v>
      </x:c>
      <x:c r="F13" s="63" t="str">
        <x:v>VESPER</x:v>
      </x:c>
      <x:c r="G13" s="63" t="str">
        <x:v>04.05.2022 (zdroj)</x:v>
      </x:c>
      <x:c r="H13" s="90" t="str">
        <x:v>01 (zdroj)</x:v>
      </x:c>
      <x:c r="I13" s="63" t="str">
        <x:v>M 1:8</x:v>
      </x:c>
      <x:c r="J13" s="63" t="n">
        <x:v>8</x:v>
      </x:c>
      <x:c r="K13" s="45" t="str">
        <x:v>obrazky/2D_bez_kot/08_Akusticky-stropni-panel-bytoveho-domu-s-podlahovym-vytapenim_2D_bez-kot.png</x:v>
      </x:c>
      <x:c r="L13" s="84" t="str">
        <x:v>ANO</x:v>
      </x:c>
      <x:c r="M13" s="45" t="str">
        <x:v>obrazky/3D_rezy/08_Akusticky-stropni-panel-bytoveho-domu-s-podlahovym-vytapenim_3D_CHYBI_VE_ZDROJI.txt</x:v>
      </x:c>
      <x:c r="N13" s="87" t="str">
        <x:v>CHYBÍ VE ZDROJI</x:v>
      </x:c>
      <x:c r="O13" s="45" t="str">
        <x:v>NE</x:v>
      </x:c>
    </x:row>
    <x:row r="14" ht="64" customHeight="1">
      <x:c r="A14" s="63" t="str">
        <x:v>5.1</x:v>
      </x:c>
      <x:c r="B14" s="45" t="str">
        <x:v>Střešní panel pro šikmou střechu s rámem 300 mm</x:v>
      </x:c>
      <x:c r="C14" s="45" t="str">
        <x:v>STŘECHA_ ŠIKMÁ</x:v>
      </x:c>
      <x:c r="D14" s="45" t="str">
        <x:v>ŘEZ SKLADBOU ŠIKMÉ STŘECHY_ RÁM 300mm</x:v>
      </x:c>
      <x:c r="E14" s="45" t="str">
        <x:v>05_KR_300SS_001</x:v>
      </x:c>
      <x:c r="F14" s="63" t="str">
        <x:v>VESPER</x:v>
      </x:c>
      <x:c r="G14" s="63" t="str">
        <x:v>04.05.2022 (zdroj)</x:v>
      </x:c>
      <x:c r="H14" s="90" t="str">
        <x:v>01 (zdroj)</x:v>
      </x:c>
      <x:c r="I14" s="63" t="str">
        <x:v>M 1:8</x:v>
      </x:c>
      <x:c r="J14" s="63" t="n">
        <x:v>9</x:v>
      </x:c>
      <x:c r="K14" s="45" t="str">
        <x:v>obrazky/2D_bez_kot/09_Stresni-panel-pro-sikmou-strechu-s-ramem-300-mm_2D_bez-kot.png</x:v>
      </x:c>
      <x:c r="L14" s="84" t="str">
        <x:v>ANO</x:v>
      </x:c>
      <x:c r="M14" s="45" t="str">
        <x:v>obrazky/3D_rezy/09_Stresni-panel-pro-sikmou-strechu-s-ramem-300-mm_3D-rez.jpg</x:v>
      </x:c>
      <x:c r="N14" s="87" t="str">
        <x:v>ANO</x:v>
      </x:c>
      <x:c r="O14" s="45" t="str">
        <x:v>ANO</x:v>
      </x:c>
    </x:row>
    <x:row r="15" ht="64" customHeight="1">
      <x:c r="A15" s="64" t="str">
        <x:v>5.2</x:v>
      </x:c>
      <x:c r="B15" s="46" t="str">
        <x:v>Střešní panel pro plochou střechu s EPS izolací a rámem 240 mm</x:v>
      </x:c>
      <x:c r="C15" s="46" t="str">
        <x:v>STŘECHA_ PLOCHÁ</x:v>
      </x:c>
      <x:c r="D15" s="46" t="str">
        <x:v>ŘEZ SKLADBOU PLOCHÉ STŘECHY_ RÁM 240mm</x:v>
      </x:c>
      <x:c r="E15" s="46" t="str">
        <x:v>05_KR_240PS_001</x:v>
      </x:c>
      <x:c r="F15" s="64" t="str">
        <x:v>VESPER</x:v>
      </x:c>
      <x:c r="G15" s="64" t="str">
        <x:v>04.05.2022 (zdroj)</x:v>
      </x:c>
      <x:c r="H15" s="91" t="str">
        <x:v>01 (zdroj)</x:v>
      </x:c>
      <x:c r="I15" s="64" t="str">
        <x:v>M 1:8</x:v>
      </x:c>
      <x:c r="J15" s="64" t="n">
        <x:v>10</x:v>
      </x:c>
      <x:c r="K15" s="46" t="str">
        <x:v>obrazky/2D_bez_kot/10_Stresni-panel-pro-plochou-strechu-s-EPS-izolaci-a-ramem-240-mm_2D_bez-kot.png</x:v>
      </x:c>
      <x:c r="L15" s="85" t="str">
        <x:v>ANO</x:v>
      </x:c>
      <x:c r="M15" s="46" t="str">
        <x:v>obrazky/3D_rezy/10_Stresni-panel-pro-plochou-strechu-s-EPS-izolaci-a-ramem-240-mm_3D-rez.jpg</x:v>
      </x:c>
      <x:c r="N15" s="88" t="str">
        <x:v>ANO</x:v>
      </x:c>
      <x:c r="O15" s="46" t="str">
        <x:v>ANO</x:v>
      </x:c>
    </x:row>
  </x:sheetData>
  <x:mergeCells>
    <x:mergeCell ref="A1:O1"/>
    <x:mergeCell ref="A2:O2"/>
    <x:mergeCell ref="A3:B3"/>
    <x:mergeCell ref="D3:E3"/>
    <x:mergeCell ref="G3:H3"/>
    <x:mergeCell ref="J3:O3"/>
  </x:mergeCells>
  <x:pageMargins left="0.7" right="0.7" top="0.75" bottom="0.75" header="0.3" footer="0.3"/>
  <x:tableParts count="1">
    <x:tablePart xmlns:r="http://schemas.openxmlformats.org/officeDocument/2006/relationships" r:id="R03652e99247649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0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5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2" hidden="0" customWidth="1"/>
    <x:col min="13" max="13" width="13" hidden="0" customWidth="1"/>
    <x:col min="14" max="14" width="24" hidden="0" customWidth="1"/>
    <x:col min="15" max="15" width="17" hidden="0" customWidth="1"/>
    <x:col min="16" max="16" width="52" hidden="0" customWidth="1"/>
    <x:col min="17" max="17" width="17" hidden="0" customWidth="1"/>
  </x:cols>
  <x:sheetData>
    <x:row r="1" ht="34" customHeight="1">
      <x:c r="A1" s="4" t="str">
        <x:v>Kontrola úplnosti a návaznosti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8" t="str">
        <x:v>Kontrolní součty porovnávají počet vrstev, celkovou tloušťku a hmotnost s hodnotami uvedenými na každé stránce PDF. Kontrola souborů ověřuje existenci a shodu názvů.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 ht="32" customHeight="1">
      <x:c r="A3" s="12" t="str">
        <x:v>Kontrolované skladby</x:v>
      </x:c>
      <x:c r="B3" s="12"/>
      <x:c r="C3" s="15" t="n">
        <x:v>10</x:v>
      </x:c>
      <x:c r="D3" s="19" t="str">
        <x:v>Kontrolované vrstvy</x:v>
      </x:c>
      <x:c r="E3" s="19"/>
      <x:c r="F3" s="22" t="n">
        <x:v>96</x:v>
      </x:c>
      <x:c r="G3" s="26" t="str">
        <x:v>2D soubory</x:v>
      </x:c>
      <x:c r="H3" s="26"/>
      <x:c r="I3" s="29" t="n">
        <x:v>10</x:v>
      </x:c>
      <x:c r="J3" s="12" t="str">
        <x:v>3D soubory</x:v>
      </x:c>
      <x:c r="K3" s="12"/>
      <x:c r="L3" s="15" t="n">
        <x:v>8</x:v>
      </x:c>
      <x:c r="M3" s="94" t="str">
        <x:v>Výsledek: všechny číselné součty souhlasí se zdrojem; dvě chybějící 3D zobrazení jsou vlastností zdrojového PDF.</x:v>
      </x:c>
      <x:c r="N3" s="94"/>
      <x:c r="O3" s="94"/>
      <x:c r="P3" s="94"/>
      <x:c r="Q3" s="94"/>
    </x:row>
    <x:row r="5" ht="38" customHeight="1">
      <x:c r="A5" s="52" t="str">
        <x:v>Kód katalogu</x:v>
      </x:c>
      <x:c r="B5" s="52" t="str">
        <x:v>Navržený uživatelský název</x:v>
      </x:c>
      <x:c r="C5" s="52" t="str">
        <x:v>Vrstvy ve zdroji</x:v>
      </x:c>
      <x:c r="D5" s="52" t="str">
        <x:v>Vrstvy v Excelu</x:v>
      </x:c>
      <x:c r="E5" s="52" t="str">
        <x:v>Shoda vrstev</x:v>
      </x:c>
      <x:c r="F5" s="52" t="str">
        <x:v>Tloušťka zdroj [mm]</x:v>
      </x:c>
      <x:c r="G5" s="52" t="str">
        <x:v>Součet vrstev [mm]</x:v>
      </x:c>
      <x:c r="H5" s="52" t="str">
        <x:v>Shoda tloušťky</x:v>
      </x:c>
      <x:c r="I5" s="52" t="str">
        <x:v>Hmotnost zdroj [kg/m²]</x:v>
      </x:c>
      <x:c r="J5" s="52" t="str">
        <x:v>Součet vrstev [kg/m²]</x:v>
      </x:c>
      <x:c r="K5" s="52" t="str">
        <x:v>Shoda hmotnosti</x:v>
      </x:c>
      <x:c r="L5" s="52" t="str">
        <x:v>2D výstup</x:v>
      </x:c>
      <x:c r="M5" s="52" t="str">
        <x:v>3D ve zdroji</x:v>
      </x:c>
      <x:c r="N5" s="52" t="str">
        <x:v>3D výstup</x:v>
      </x:c>
      <x:c r="O5" s="52" t="str">
        <x:v>Shoda názvu souboru</x:v>
      </x:c>
      <x:c r="P5" s="52" t="str">
        <x:v>Poznámka</x:v>
      </x:c>
      <x:c r="Q5" s="52" t="str">
        <x:v>Celkový stav</x:v>
      </x:c>
    </x:row>
    <x:row r="6" ht="58" customHeight="1">
      <x:c r="A6" s="44" t="str">
        <x:v>1.1</x:v>
      </x:c>
      <x:c r="B6" s="44" t="str">
        <x:v>Obvodový stěnový panel s kontaktním zateplením a omítkovou fasádou</x:v>
      </x:c>
      <x:c r="C6" s="62" t="n">
        <x:v>11</x:v>
      </x:c>
      <x:c r="D6" s="62" t="n">
        <x:f>COUNTIF('Vrstvy'!$A$6:$A$101,A6)</x:f>
        <x:v>11</x:v>
      </x:c>
      <x:c r="E6" s="98" t="str">
        <x:f>IF(C6=D6,"ANO","NE")</x:f>
        <x:v>ANO</x:v>
      </x:c>
      <x:c r="F6" s="95" t="n">
        <x:v>358.5</x:v>
      </x:c>
      <x:c r="G6" s="95" t="n">
        <x:f>SUMIF('Vrstvy'!$A$6:$A$101,A6,'Vrstvy'!$F$6:$F$101)</x:f>
        <x:v>358.5</x:v>
      </x:c>
      <x:c r="H6" s="98" t="str">
        <x:f>IF(ABS(F6-G6)&lt;0.01,"ANO","NE")</x:f>
        <x:v>ANO</x:v>
      </x:c>
      <x:c r="I6" s="95" t="n">
        <x:v>77.2</x:v>
      </x:c>
      <x:c r="J6" s="95" t="n">
        <x:f>SUMIF('Vrstvy'!$A$6:$A$101,A6,'Vrstvy'!$G$6:$G$101)</x:f>
        <x:v>77.2</x:v>
      </x:c>
      <x:c r="K6" s="98" t="str">
        <x:f>IF(ABS(I6-J6)&lt;0.01,"ANO","NE")</x:f>
        <x:v>ANO</x:v>
      </x:c>
      <x:c r="L6" s="62" t="str">
        <x:v>ANO</x:v>
      </x:c>
      <x:c r="M6" s="62" t="str">
        <x:v>ANO</x:v>
      </x:c>
      <x:c r="N6" s="62" t="str">
        <x:v>ANO</x:v>
      </x:c>
      <x:c r="O6" s="62" t="str">
        <x:v>ANO</x:v>
      </x:c>
      <x:c r="P6" s="101" t="str"/>
      <x:c r="Q6" s="83" t="str">
        <x:f>IF(AND(E6="ANO",H6="ANO",K6="ANO",L6="ANO",O6="ANO",OR(N6="ANO",N6="NEAPLIKOVATELNÉ - CHYBÍ VE ZDROJI")),"V POŘÁDKU","ZKONTROLOVAT")</x:f>
        <x:v>V POŘÁDKU</x:v>
      </x:c>
    </x:row>
    <x:row r="7" ht="58" customHeight="1">
      <x:c r="A7" s="45" t="str">
        <x:v>1.2</x:v>
      </x:c>
      <x:c r="B7" s="45" t="str">
        <x:v>Obvodový stěnový panel s provětrávanou dřevěnou fasádou</x:v>
      </x:c>
      <x:c r="C7" s="63" t="n">
        <x:v>13</x:v>
      </x:c>
      <x:c r="D7" s="63" t="n">
        <x:f>COUNTIF('Vrstvy'!$A$6:$A$101,A7)</x:f>
        <x:v>13</x:v>
      </x:c>
      <x:c r="E7" s="99" t="str">
        <x:f>IF(C7=D7,"ANO","NE")</x:f>
        <x:v>ANO</x:v>
      </x:c>
      <x:c r="F7" s="96" t="n">
        <x:v>431</x:v>
      </x:c>
      <x:c r="G7" s="96" t="n">
        <x:f>SUMIF('Vrstvy'!$A$6:$A$101,A7,'Vrstvy'!$F$6:$F$101)</x:f>
        <x:v>431</x:v>
      </x:c>
      <x:c r="H7" s="99" t="str">
        <x:f>IF(ABS(F7-G7)&lt;0.01,"ANO","NE")</x:f>
        <x:v>ANO</x:v>
      </x:c>
      <x:c r="I7" s="96" t="n">
        <x:v>85.2</x:v>
      </x:c>
      <x:c r="J7" s="96" t="n">
        <x:f>SUMIF('Vrstvy'!$A$6:$A$101,A7,'Vrstvy'!$G$6:$G$101)</x:f>
        <x:v>85.2</x:v>
      </x:c>
      <x:c r="K7" s="99" t="str">
        <x:f>IF(ABS(I7-J7)&lt;0.01,"ANO","NE")</x:f>
        <x:v>ANO</x:v>
      </x:c>
      <x:c r="L7" s="63" t="str">
        <x:v>ANO</x:v>
      </x:c>
      <x:c r="M7" s="63" t="str">
        <x:v>ANO</x:v>
      </x:c>
      <x:c r="N7" s="63" t="str">
        <x:v>ANO</x:v>
      </x:c>
      <x:c r="O7" s="63" t="str">
        <x:v>ANO</x:v>
      </x:c>
      <x:c r="P7" s="102" t="str"/>
      <x:c r="Q7" s="84" t="str">
        <x:f>IF(AND(E7="ANO",H7="ANO",K7="ANO",L7="ANO",O7="ANO",OR(N7="ANO",N7="NEAPLIKOVATELNÉ - CHYBÍ VE ZDROJI")),"V POŘÁDKU","ZKONTROLOVAT")</x:f>
        <x:v>V POŘÁDKU</x:v>
      </x:c>
    </x:row>
    <x:row r="8" ht="58" customHeight="1">
      <x:c r="A8" s="45" t="str">
        <x:v>1.3</x:v>
      </x:c>
      <x:c r="B8" s="45" t="str">
        <x:v>Obvodový stěnový panel DP1 s ocelovým rámem a omítkovou fasádou</x:v>
      </x:c>
      <x:c r="C8" s="63" t="n">
        <x:v>13</x:v>
      </x:c>
      <x:c r="D8" s="63" t="n">
        <x:f>COUNTIF('Vrstvy'!$A$6:$A$101,A8)</x:f>
        <x:v>13</x:v>
      </x:c>
      <x:c r="E8" s="99" t="str">
        <x:f>IF(C8=D8,"ANO","NE")</x:f>
        <x:v>ANO</x:v>
      </x:c>
      <x:c r="F8" s="96" t="n">
        <x:v>368.5</x:v>
      </x:c>
      <x:c r="G8" s="96" t="n">
        <x:f>SUMIF('Vrstvy'!$A$6:$A$101,A8,'Vrstvy'!$F$6:$F$101)</x:f>
        <x:v>368.5</x:v>
      </x:c>
      <x:c r="H8" s="99" t="str">
        <x:f>IF(ABS(F8-G8)&lt;0.01,"ANO","NE")</x:f>
        <x:v>ANO</x:v>
      </x:c>
      <x:c r="I8" s="96" t="n">
        <x:v>107.4</x:v>
      </x:c>
      <x:c r="J8" s="96" t="n">
        <x:f>SUMIF('Vrstvy'!$A$6:$A$101,A8,'Vrstvy'!$G$6:$G$101)</x:f>
        <x:v>107.4</x:v>
      </x:c>
      <x:c r="K8" s="99" t="str">
        <x:f>IF(ABS(I8-J8)&lt;0.01,"ANO","NE")</x:f>
        <x:v>ANO</x:v>
      </x:c>
      <x:c r="L8" s="63" t="str">
        <x:v>ANO</x:v>
      </x:c>
      <x:c r="M8" s="63" t="str">
        <x:v>NE</x:v>
      </x:c>
      <x:c r="N8" s="63" t="str">
        <x:v>NEAPLIKOVATELNÉ - CHYBÍ VE ZDROJI</x:v>
      </x:c>
      <x:c r="O8" s="63" t="str">
        <x:v>ANO</x:v>
      </x:c>
      <x:c r="P8" s="102" t="str">
        <x:v>Ve zdroji je plocha 3D pohledu prázdná. Popis skladby uvádí provětrávanou fasádu, ale název výkresu a vrstvy odpovídají omítkovému kontaktnímu systému.</x:v>
      </x:c>
      <x:c r="Q8" s="84" t="str">
        <x:f>IF(AND(E8="ANO",H8="ANO",K8="ANO",L8="ANO",O8="ANO",OR(N8="ANO",N8="NEAPLIKOVATELNÉ - CHYBÍ VE ZDROJI")),"V POŘÁDKU","ZKONTROLOVAT")</x:f>
        <x:v>V POŘÁDKU</x:v>
      </x:c>
    </x:row>
    <x:row r="9" ht="58" customHeight="1">
      <x:c r="A9" s="45" t="str">
        <x:v>2.1</x:v>
      </x:c>
      <x:c r="B9" s="45" t="str">
        <x:v>Vnitřní nosný stěnový panel s KVH rámem 120 mm</x:v>
      </x:c>
      <x:c r="C9" s="63" t="n">
        <x:v>6</x:v>
      </x:c>
      <x:c r="D9" s="63" t="n">
        <x:f>COUNTIF('Vrstvy'!$A$6:$A$101,A9)</x:f>
        <x:v>6</x:v>
      </x:c>
      <x:c r="E9" s="99" t="str">
        <x:f>IF(C9=D9,"ANO","NE")</x:f>
        <x:v>ANO</x:v>
      </x:c>
      <x:c r="F9" s="96" t="n">
        <x:v>170</x:v>
      </x:c>
      <x:c r="G9" s="96" t="n">
        <x:f>SUMIF('Vrstvy'!$A$6:$A$101,A9,'Vrstvy'!$F$6:$F$101)</x:f>
        <x:v>170</x:v>
      </x:c>
      <x:c r="H9" s="99" t="str">
        <x:f>IF(ABS(F9-G9)&lt;0.01,"ANO","NE")</x:f>
        <x:v>ANO</x:v>
      </x:c>
      <x:c r="I9" s="96" t="n">
        <x:v>56.4</x:v>
      </x:c>
      <x:c r="J9" s="96" t="n">
        <x:f>SUMIF('Vrstvy'!$A$6:$A$101,A9,'Vrstvy'!$G$6:$G$101)</x:f>
        <x:v>56.400000000000006</x:v>
      </x:c>
      <x:c r="K9" s="99" t="str">
        <x:f>IF(ABS(I9-J9)&lt;0.01,"ANO","NE")</x:f>
        <x:v>ANO</x:v>
      </x:c>
      <x:c r="L9" s="63" t="str">
        <x:v>ANO</x:v>
      </x:c>
      <x:c r="M9" s="63" t="str">
        <x:v>ANO</x:v>
      </x:c>
      <x:c r="N9" s="63" t="str">
        <x:v>ANO</x:v>
      </x:c>
      <x:c r="O9" s="63" t="str">
        <x:v>ANO</x:v>
      </x:c>
      <x:c r="P9" s="102" t="str"/>
      <x:c r="Q9" s="84" t="str">
        <x:f>IF(AND(E9="ANO",H9="ANO",K9="ANO",L9="ANO",O9="ANO",OR(N9="ANO",N9="NEAPLIKOVATELNÉ - CHYBÍ VE ZDROJI")),"V POŘÁDKU","ZKONTROLOVAT")</x:f>
        <x:v>V POŘÁDKU</x:v>
      </x:c>
    </x:row>
    <x:row r="10" ht="58" customHeight="1">
      <x:c r="A10" s="45" t="str">
        <x:v>2.2</x:v>
      </x:c>
      <x:c r="B10" s="45" t="str">
        <x:v>Vnitřní akustická a požárně dělicí dvojitá stěna 2×120 mm</x:v>
      </x:c>
      <x:c r="C10" s="63" t="n">
        <x:v>9</x:v>
      </x:c>
      <x:c r="D10" s="63" t="n">
        <x:f>COUNTIF('Vrstvy'!$A$6:$A$101,A10)</x:f>
        <x:v>9</x:v>
      </x:c>
      <x:c r="E10" s="99" t="str">
        <x:f>IF(C10=D10,"ANO","NE")</x:f>
        <x:v>ANO</x:v>
      </x:c>
      <x:c r="F10" s="96" t="n">
        <x:v>300</x:v>
      </x:c>
      <x:c r="G10" s="96" t="n">
        <x:f>SUMIF('Vrstvy'!$A$6:$A$101,A10,'Vrstvy'!$F$6:$F$101)</x:f>
        <x:v>300</x:v>
      </x:c>
      <x:c r="H10" s="99" t="str">
        <x:f>IF(ABS(F10-G10)&lt;0.01,"ANO","NE")</x:f>
        <x:v>ANO</x:v>
      </x:c>
      <x:c r="I10" s="96" t="n">
        <x:v>64.4</x:v>
      </x:c>
      <x:c r="J10" s="96" t="n">
        <x:f>SUMIF('Vrstvy'!$A$6:$A$101,A10,'Vrstvy'!$G$6:$G$101)</x:f>
        <x:v>64.4</x:v>
      </x:c>
      <x:c r="K10" s="99" t="str">
        <x:f>IF(ABS(I10-J10)&lt;0.01,"ANO","NE")</x:f>
        <x:v>ANO</x:v>
      </x:c>
      <x:c r="L10" s="63" t="str">
        <x:v>ANO</x:v>
      </x:c>
      <x:c r="M10" s="63" t="str">
        <x:v>ANO</x:v>
      </x:c>
      <x:c r="N10" s="63" t="str">
        <x:v>ANO</x:v>
      </x:c>
      <x:c r="O10" s="63" t="str">
        <x:v>ANO</x:v>
      </x:c>
      <x:c r="P10" s="102" t="str"/>
      <x:c r="Q10" s="84" t="str">
        <x:f>IF(AND(E10="ANO",H10="ANO",K10="ANO",L10="ANO",O10="ANO",OR(N10="ANO",N10="NEAPLIKOVATELNÉ - CHYBÍ VE ZDROJI")),"V POŘÁDKU","ZKONTROLOVAT")</x:f>
        <x:v>V POŘÁDKU</x:v>
      </x:c>
    </x:row>
    <x:row r="11" ht="58" customHeight="1">
      <x:c r="A11" s="45" t="str">
        <x:v>3.1</x:v>
      </x:c>
      <x:c r="B11" s="45" t="str">
        <x:v>Podlahová skladba nad základy s teplovodním vytápěním</x:v>
      </x:c>
      <x:c r="C11" s="63" t="n">
        <x:v>7</x:v>
      </x:c>
      <x:c r="D11" s="63" t="n">
        <x:f>COUNTIF('Vrstvy'!$A$6:$A$101,A11)</x:f>
        <x:v>7</x:v>
      </x:c>
      <x:c r="E11" s="99" t="str">
        <x:f>IF(C11=D11,"ANO","NE")</x:f>
        <x:v>ANO</x:v>
      </x:c>
      <x:c r="F11" s="96" t="n">
        <x:v>220.1</x:v>
      </x:c>
      <x:c r="G11" s="96" t="n">
        <x:f>SUMIF('Vrstvy'!$A$6:$A$101,A11,'Vrstvy'!$F$6:$F$101)</x:f>
        <x:v>220.1</x:v>
      </x:c>
      <x:c r="H11" s="99" t="str">
        <x:f>IF(ABS(F11-G11)&lt;0.01,"ANO","NE")</x:f>
        <x:v>ANO</x:v>
      </x:c>
      <x:c r="I11" s="96" t="n">
        <x:v>60.6</x:v>
      </x:c>
      <x:c r="J11" s="96" t="n">
        <x:f>SUMIF('Vrstvy'!$A$6:$A$101,A11,'Vrstvy'!$G$6:$G$101)</x:f>
        <x:v>60.6</x:v>
      </x:c>
      <x:c r="K11" s="99" t="str">
        <x:f>IF(ABS(I11-J11)&lt;0.01,"ANO","NE")</x:f>
        <x:v>ANO</x:v>
      </x:c>
      <x:c r="L11" s="63" t="str">
        <x:v>ANO</x:v>
      </x:c>
      <x:c r="M11" s="63" t="str">
        <x:v>ANO</x:v>
      </x:c>
      <x:c r="N11" s="63" t="str">
        <x:v>ANO</x:v>
      </x:c>
      <x:c r="O11" s="63" t="str">
        <x:v>ANO</x:v>
      </x:c>
      <x:c r="P11" s="102" t="str">
        <x:v>Zdroj neobsahuje samostatnou tabulku Vlastnosti konstrukce.</x:v>
      </x:c>
      <x:c r="Q11" s="84" t="str">
        <x:f>IF(AND(E11="ANO",H11="ANO",K11="ANO",L11="ANO",O11="ANO",OR(N11="ANO",N11="NEAPLIKOVATELNÉ - CHYBÍ VE ZDROJI")),"V POŘÁDKU","ZKONTROLOVAT")</x:f>
        <x:v>V POŘÁDKU</x:v>
      </x:c>
    </x:row>
    <x:row r="12" ht="58" customHeight="1">
      <x:c r="A12" s="45" t="str">
        <x:v>4.1</x:v>
      </x:c>
      <x:c r="B12" s="45" t="str">
        <x:v>Stropní panel rodinného domu s podlahovým vytápěním</x:v>
      </x:c>
      <x:c r="C12" s="63" t="n">
        <x:v>9</x:v>
      </x:c>
      <x:c r="D12" s="63" t="n">
        <x:f>COUNTIF('Vrstvy'!$A$6:$A$101,A12)</x:f>
        <x:v>9</x:v>
      </x:c>
      <x:c r="E12" s="99" t="str">
        <x:f>IF(C12=D12,"ANO","NE")</x:f>
        <x:v>ANO</x:v>
      </x:c>
      <x:c r="F12" s="96" t="n">
        <x:v>432</x:v>
      </x:c>
      <x:c r="G12" s="96" t="n">
        <x:f>SUMIF('Vrstvy'!$A$6:$A$101,A12,'Vrstvy'!$F$6:$F$101)</x:f>
        <x:v>432</x:v>
      </x:c>
      <x:c r="H12" s="99" t="str">
        <x:f>IF(ABS(F12-G12)&lt;0.01,"ANO","NE")</x:f>
        <x:v>ANO</x:v>
      </x:c>
      <x:c r="I12" s="96" t="n">
        <x:v>100</x:v>
      </x:c>
      <x:c r="J12" s="96" t="n">
        <x:f>SUMIF('Vrstvy'!$A$6:$A$101,A12,'Vrstvy'!$G$6:$G$101)</x:f>
        <x:v>100</x:v>
      </x:c>
      <x:c r="K12" s="99" t="str">
        <x:f>IF(ABS(I12-J12)&lt;0.01,"ANO","NE")</x:f>
        <x:v>ANO</x:v>
      </x:c>
      <x:c r="L12" s="63" t="str">
        <x:v>ANO</x:v>
      </x:c>
      <x:c r="M12" s="63" t="str">
        <x:v>ANO</x:v>
      </x:c>
      <x:c r="N12" s="63" t="str">
        <x:v>ANO</x:v>
      </x:c>
      <x:c r="O12" s="63" t="str">
        <x:v>ANO</x:v>
      </x:c>
      <x:c r="P12" s="102" t="str">
        <x:v>Zdroj neobsahuje samostatnou tabulku Vlastnosti konstrukce.</x:v>
      </x:c>
      <x:c r="Q12" s="84" t="str">
        <x:f>IF(AND(E12="ANO",H12="ANO",K12="ANO",L12="ANO",O12="ANO",OR(N12="ANO",N12="NEAPLIKOVATELNÉ - CHYBÍ VE ZDROJI")),"V POŘÁDKU","ZKONTROLOVAT")</x:f>
        <x:v>V POŘÁDKU</x:v>
      </x:c>
    </x:row>
    <x:row r="13" ht="58" customHeight="1">
      <x:c r="A13" s="45" t="str">
        <x:v>4.2</x:v>
      </x:c>
      <x:c r="B13" s="45" t="str">
        <x:v>Akustický stropní panel bytového domu s podlahovým vytápěním</x:v>
      </x:c>
      <x:c r="C13" s="63" t="n">
        <x:v>10</x:v>
      </x:c>
      <x:c r="D13" s="63" t="n">
        <x:f>COUNTIF('Vrstvy'!$A$6:$A$101,A13)</x:f>
        <x:v>10</x:v>
      </x:c>
      <x:c r="E13" s="99" t="str">
        <x:f>IF(C13=D13,"ANO","NE")</x:f>
        <x:v>ANO</x:v>
      </x:c>
      <x:c r="F13" s="96" t="n">
        <x:v>492</x:v>
      </x:c>
      <x:c r="G13" s="96" t="n">
        <x:f>SUMIF('Vrstvy'!$A$6:$A$101,A13,'Vrstvy'!$F$6:$F$101)</x:f>
        <x:v>492</x:v>
      </x:c>
      <x:c r="H13" s="99" t="str">
        <x:f>IF(ABS(F13-G13)&lt;0.01,"ANO","NE")</x:f>
        <x:v>ANO</x:v>
      </x:c>
      <x:c r="I13" s="96" t="n">
        <x:v>163.2</x:v>
      </x:c>
      <x:c r="J13" s="96" t="n">
        <x:f>SUMIF('Vrstvy'!$A$6:$A$101,A13,'Vrstvy'!$G$6:$G$101)</x:f>
        <x:v>163.2</x:v>
      </x:c>
      <x:c r="K13" s="99" t="str">
        <x:f>IF(ABS(I13-J13)&lt;0.01,"ANO","NE")</x:f>
        <x:v>ANO</x:v>
      </x:c>
      <x:c r="L13" s="63" t="str">
        <x:v>ANO</x:v>
      </x:c>
      <x:c r="M13" s="63" t="str">
        <x:v>NE</x:v>
      </x:c>
      <x:c r="N13" s="63" t="str">
        <x:v>NEAPLIKOVATELNÉ - CHYBÍ VE ZDROJI</x:v>
      </x:c>
      <x:c r="O13" s="63" t="str">
        <x:v>ANO</x:v>
      </x:c>
      <x:c r="P13" s="102" t="str">
        <x:v>Ve zdroji je plocha 3D pohledu prázdná. Zdroj neobsahuje samostatnou tabulku Vlastnosti konstrukce.</x:v>
      </x:c>
      <x:c r="Q13" s="84" t="str">
        <x:f>IF(AND(E13="ANO",H13="ANO",K13="ANO",L13="ANO",O13="ANO",OR(N13="ANO",N13="NEAPLIKOVATELNÉ - CHYBÍ VE ZDROJI")),"V POŘÁDKU","ZKONTROLOVAT")</x:f>
        <x:v>V POŘÁDKU</x:v>
      </x:c>
    </x:row>
    <x:row r="14" ht="58" customHeight="1">
      <x:c r="A14" s="45" t="str">
        <x:v>5.1</x:v>
      </x:c>
      <x:c r="B14" s="45" t="str">
        <x:v>Střešní panel pro šikmou střechu s rámem 300 mm</x:v>
      </x:c>
      <x:c r="C14" s="63" t="n">
        <x:v>10</x:v>
      </x:c>
      <x:c r="D14" s="63" t="n">
        <x:f>COUNTIF('Vrstvy'!$A$6:$A$101,A14)</x:f>
        <x:v>10</x:v>
      </x:c>
      <x:c r="E14" s="99" t="str">
        <x:f>IF(C14=D14,"ANO","NE")</x:f>
        <x:v>ANO</x:v>
      </x:c>
      <x:c r="F14" s="96" t="n">
        <x:v>455</x:v>
      </x:c>
      <x:c r="G14" s="96" t="n">
        <x:f>SUMIF('Vrstvy'!$A$6:$A$101,A14,'Vrstvy'!$F$6:$F$101)</x:f>
        <x:v>455</x:v>
      </x:c>
      <x:c r="H14" s="99" t="str">
        <x:f>IF(ABS(F14-G14)&lt;0.01,"ANO","NE")</x:f>
        <x:v>ANO</x:v>
      </x:c>
      <x:c r="I14" s="96" t="n">
        <x:v>57.6</x:v>
      </x:c>
      <x:c r="J14" s="96" t="n">
        <x:f>SUMIF('Vrstvy'!$A$6:$A$101,A14,'Vrstvy'!$G$6:$G$101)</x:f>
        <x:v>57.60000000000001</x:v>
      </x:c>
      <x:c r="K14" s="99" t="str">
        <x:f>IF(ABS(I14-J14)&lt;0.01,"ANO","NE")</x:f>
        <x:v>ANO</x:v>
      </x:c>
      <x:c r="L14" s="63" t="str">
        <x:v>ANO</x:v>
      </x:c>
      <x:c r="M14" s="63" t="str">
        <x:v>ANO</x:v>
      </x:c>
      <x:c r="N14" s="63" t="str">
        <x:v>ANO</x:v>
      </x:c>
      <x:c r="O14" s="63" t="str">
        <x:v>ANO</x:v>
      </x:c>
      <x:c r="P14" s="102" t="str"/>
      <x:c r="Q14" s="84" t="str">
        <x:f>IF(AND(E14="ANO",H14="ANO",K14="ANO",L14="ANO",O14="ANO",OR(N14="ANO",N14="NEAPLIKOVATELNÉ - CHYBÍ VE ZDROJI")),"V POŘÁDKU","ZKONTROLOVAT")</x:f>
        <x:v>V POŘÁDKU</x:v>
      </x:c>
    </x:row>
    <x:row r="15" ht="58" customHeight="1">
      <x:c r="A15" s="46" t="str">
        <x:v>5.2</x:v>
      </x:c>
      <x:c r="B15" s="46" t="str">
        <x:v>Střešní panel pro plochou střechu s EPS izolací a rámem 240 mm</x:v>
      </x:c>
      <x:c r="C15" s="64" t="n">
        <x:v>8</x:v>
      </x:c>
      <x:c r="D15" s="64" t="n">
        <x:f>COUNTIF('Vrstvy'!$A$6:$A$101,A15)</x:f>
        <x:v>8</x:v>
      </x:c>
      <x:c r="E15" s="100" t="str">
        <x:f>IF(C15=D15,"ANO","NE")</x:f>
        <x:v>ANO</x:v>
      </x:c>
      <x:c r="F15" s="97" t="n">
        <x:v>564.5</x:v>
      </x:c>
      <x:c r="G15" s="97" t="n">
        <x:f>SUMIF('Vrstvy'!$A$6:$A$101,A15,'Vrstvy'!$F$6:$F$101)</x:f>
        <x:v>564.5</x:v>
      </x:c>
      <x:c r="H15" s="100" t="str">
        <x:f>IF(ABS(F15-G15)&lt;0.01,"ANO","NE")</x:f>
        <x:v>ANO</x:v>
      </x:c>
      <x:c r="I15" s="97" t="n">
        <x:v>45.9</x:v>
      </x:c>
      <x:c r="J15" s="97" t="n">
        <x:f>SUMIF('Vrstvy'!$A$6:$A$101,A15,'Vrstvy'!$G$6:$G$101)</x:f>
        <x:v>45.900000000000006</x:v>
      </x:c>
      <x:c r="K15" s="100" t="str">
        <x:f>IF(ABS(I15-J15)&lt;0.01,"ANO","NE")</x:f>
        <x:v>ANO</x:v>
      </x:c>
      <x:c r="L15" s="64" t="str">
        <x:v>ANO</x:v>
      </x:c>
      <x:c r="M15" s="64" t="str">
        <x:v>ANO</x:v>
      </x:c>
      <x:c r="N15" s="64" t="str">
        <x:v>ANO</x:v>
      </x:c>
      <x:c r="O15" s="64" t="str">
        <x:v>ANO</x:v>
      </x:c>
      <x:c r="P15" s="103" t="str"/>
      <x:c r="Q15" s="85" t="str">
        <x:f>IF(AND(E15="ANO",H15="ANO",K15="ANO",L15="ANO",O15="ANO",OR(N15="ANO",N15="NEAPLIKOVATELNÉ - CHYBÍ VE ZDROJI")),"V POŘÁDKU","ZKONTROLOVAT")</x:f>
        <x:v>V POŘÁDKU</x:v>
      </x:c>
    </x:row>
  </x:sheetData>
  <x:mergeCells>
    <x:mergeCell ref="A1:Q1"/>
    <x:mergeCell ref="A2:Q2"/>
    <x:mergeCell ref="A3:B3"/>
    <x:mergeCell ref="D3:E3"/>
    <x:mergeCell ref="G3:H3"/>
    <x:mergeCell ref="J3:K3"/>
    <x:mergeCell ref="M3:Q3"/>
  </x:mergeCells>
  <x:pageMargins left="0.7" right="0.7" top="0.75" bottom="0.75" header="0.3" footer="0.3"/>
  <x:tableParts count="1">
    <x:tablePart xmlns:r="http://schemas.openxmlformats.org/officeDocument/2006/relationships" r:id="R621c49d26f654038"/>
  </x:tableParts>
</x:worksheet>
</file>