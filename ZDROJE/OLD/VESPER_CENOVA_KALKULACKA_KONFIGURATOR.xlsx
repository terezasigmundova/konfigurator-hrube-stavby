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b7180d1ab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Rychla_kalkulace" sheetId="1" r:id="R69f1febca537496b"/>
    <x:sheet xmlns:r="http://schemas.openxmlformats.org/officeDocument/2006/relationships" name="02_Cenik_panelu" sheetId="2" r:id="Rf7bcfb6130634eb2"/>
    <x:sheet xmlns:r="http://schemas.openxmlformats.org/officeDocument/2006/relationships" name="03_Sazby_sluzeb" sheetId="3" r:id="R39339dbf098143b3"/>
    <x:sheet xmlns:r="http://schemas.openxmlformats.org/officeDocument/2006/relationships" name="04_Export_kosik" sheetId="4" r:id="R65ed1203a8ba4b19"/>
  </x:sheets>
</x:workbook>
</file>

<file path=xl/comments1.xml><?xml version="1.0" encoding="utf-8"?>
<x:comments xmlns:x="http://schemas.openxmlformats.org/spreadsheetml/2006/main">
  <x:authors>
    <x:author>tc={759BBFA2-AD00-DC43-DECB-2436F36DDBCC}</x:author>
    <x:author>tc={D2A49DB4-BCA0-550D-3D25-884121CB0AC9}</x:author>
    <x:author>tc={851081F9-5100-0DF3-6DA7-90292AAFEEC8}</x:author>
    <x:author>tc={A37386AC-A5AF-27DF-0971-44652A5BC630}</x:author>
    <x:author>tc={1A89B8F6-7F3B-6939-0DA7-2945A689C391}</x:author>
    <x:author>tc={D12D1206-D58F-CED8-80D6-23FDB59A0C4B}</x:author>
    <x:author>tc={0AF67C99-14BF-8053-EDAB-7501D731A2B3}</x:author>
    <x:author>tc={2D8E8B4B-E04C-2322-436F-5D752913424E}</x:author>
    <x:author>tc={98255B1B-FC44-B19A-5398-596388EE96B6}</x:author>
    <x:author>tc={7198297F-C013-6E6E-A2F9-BDE2399A94BC}</x:author>
    <x:author>tc={03B3418D-CCD9-F1B8-137A-0ACD104F7333}</x:author>
    <x:author>tc={F809CBB3-9A8F-907E-4B6E-7B0DD976A25C}</x:author>
    <x:author>tc={49BD2233-C12A-3ED2-5721-8579D76ED050}</x:author>
    <x:author>tc={FE462506-FBE9-4AA9-E6BB-CB02A77AE41F}</x:author>
    <x:author>tc={01A73D1A-85CA-6BF1-0B8E-D1C45E79F8B5}</x:author>
    <x:author>tc={F04F7629-CFD2-B2E3-A657-9AA34B3C12DE}</x:author>
    <x:author>tc={8A942E89-966F-F6EA-0078-A144C8D51D12}</x:author>
    <x:author>tc={F7878993-C2A9-F04B-C44C-47A0916E9208}</x:author>
    <x:author>tc={E65CF39F-8895-6A71-988D-4ED178AB9D38}</x:author>
    <x:author>tc={66223FA4-6B13-FF10-E491-16A5E7FC190B}</x:author>
    <x:author>tc={F960ED56-89DD-081B-A02B-9BBEF26C8F1D}</x:author>
    <x:author>tc={CB1C943F-F8F7-BD97-D363-59095ECC0FA0}</x:author>
    <x:author>tc={955D0D74-6ACB-6C17-5B2D-5E752CABF704}</x:author>
    <x:author>tc={AE75EB6C-3898-48EF-6F84-106E9DD4AE2C}</x:author>
    <x:author>tc={5CB359AF-B837-6555-FEBD-4C28D733572F}</x:author>
    <x:author>tc={5B66D675-C351-0725-AA31-9D8F3841B0BA}</x:author>
    <x:author>tc={E1488256-2721-AABE-4454-8EA4C4665F8A}</x:author>
    <x:author>tc={94F8C5A7-131C-59F1-6369-813DFD752EA2}</x:author>
    <x:author>tc={B8DC6563-B4C3-3FD1-F565-2531E62F7E55}</x:author>
    <x:author>tc={0CC3BE9B-7DC4-0C09-6794-424B44B1AEFC}</x:author>
  </x:authors>
  <x:commentList>
    <x:comment ref="F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ceny panelů.pdf | As-of: 2026-07-28 | Acquisition benchmark, not verified competitor selling price.</x:t>
        </x:r>
      </x:text>
    </x:comment>
    <x:comment ref="G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Pilot commercial coefficient | Owner: management / sales | Review after each completed pilot project.</x:t>
        </x:r>
      </x:text>
    </x:comment>
    <x:comment ref="K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KALKULACE_A_PARAMETRICKE_PAROVANI.md | Automatic standard opening deduction for quick estimation.</x:t>
        </x:r>
      </x:text>
    </x:comment>
    <x:comment ref="F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ceny panelů.pdf | As-of: 2026-07-28 | Acquisition benchmark, not verified competitor selling price.</x:t>
        </x:r>
      </x:text>
    </x:comment>
    <x:comment ref="G8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Pilot commercial coefficient | Owner: management / sales | Review after each completed pilot project.</x:t>
        </x:r>
      </x:text>
    </x:comment>
    <x:comment ref="K8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KALKULACE_A_PARAMETRICKE_PAROVANI.md | Automatic standard opening deduction for quick estimation.</x:t>
        </x:r>
      </x:text>
    </x:comment>
    <x:comment ref="F9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ceny panelů.pdf | As-of: 2026-07-28 | Acquisition benchmark, not verified competitor selling price.</x:t>
        </x:r>
      </x:text>
    </x:comment>
    <x:comment ref="G9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Pilot commercial coefficient | Owner: management / sales | Review after each completed pilot project.</x:t>
        </x:r>
      </x:text>
    </x:comment>
    <x:comment ref="K9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KALKULACE_A_PARAMETRICKE_PAROVANI.md | Automatic standard opening deduction for quick estimation.</x:t>
        </x:r>
      </x:text>
    </x:comment>
    <x:comment ref="F10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ceny panelů.pdf | As-of: 2026-07-28 | Acquisition benchmark, not verified competitor selling price.</x:t>
        </x:r>
      </x:text>
    </x:comment>
    <x:comment ref="G10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Pilot commercial coefficient | Owner: management / sales | Review after each completed pilot project.</x:t>
        </x:r>
      </x:text>
    </x:comment>
    <x:comment ref="K10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KALKULACE_A_PARAMETRICKE_PAROVANI.md | Automatic standard opening deduction for quick estimation.</x:t>
        </x:r>
      </x:text>
    </x:comment>
    <x:comment ref="F1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ceny panelů.pdf | As-of: 2026-07-28 | Acquisition benchmark, not verified competitor selling price.</x:t>
        </x:r>
      </x:text>
    </x:comment>
    <x:comment ref="G1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Pilot commercial coefficient | Owner: management / sales | Review after each completed pilot project.</x:t>
        </x:r>
      </x:text>
    </x:comment>
    <x:comment ref="K1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KALKULACE_A_PARAMETRICKE_PAROVANI.md | Automatic standard opening deduction for quick estimation.</x:t>
        </x:r>
      </x:text>
    </x:comment>
    <x:comment ref="F12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ceny panelů.pdf | As-of: 2026-07-28 | Acquisition benchmark, not verified competitor selling price.</x:t>
        </x:r>
      </x:text>
    </x:comment>
    <x:comment ref="G12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Pilot commercial coefficient | Owner: management / sales | Review after each completed pilot project.</x:t>
        </x:r>
      </x:text>
    </x:comment>
    <x:comment ref="K12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KALKULACE_A_PARAMETRICKE_PAROVANI.md | Automatic standard opening deduction for quick estimation.</x:t>
        </x:r>
      </x:text>
    </x:comment>
    <x:comment ref="F1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ceny panelů.pdf | As-of: 2026-07-28 | Acquisition benchmark, not verified competitor selling price.</x:t>
        </x:r>
      </x:text>
    </x:comment>
    <x:comment ref="G1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Pilot commercial coefficient | Owner: management / sales | Review after each completed pilot project.</x:t>
        </x:r>
      </x:text>
    </x:comment>
    <x:comment ref="K13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KALKULACE_A_PARAMETRICKE_PAROVANI.md | Automatic standard opening deduction for quick estimation.</x:t>
        </x:r>
      </x:text>
    </x:comment>
    <x:comment ref="F14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ceny panelů.pdf | As-of: 2026-07-28 | Acquisition benchmark, not verified competitor selling price.</x:t>
        </x:r>
      </x:text>
    </x:comment>
    <x:comment ref="G14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Pilot commercial coefficient | Owner: management / sales | Review after each completed pilot project.</x:t>
        </x:r>
      </x:text>
    </x:comment>
    <x:comment ref="K14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KALKULACE_A_PARAMETRICKE_PAROVANI.md | Automatic standard opening deduction for quick estimation.</x:t>
        </x:r>
      </x:text>
    </x:comment>
    <x:comment ref="F15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ceny panelů.pdf | As-of: 2026-07-28 | Acquisition benchmark, not verified competitor selling price.</x:t>
        </x:r>
      </x:text>
    </x:comment>
    <x:comment ref="G15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Pilot commercial coefficient | Owner: management / sales | Review after each completed pilot project.</x:t>
        </x:r>
      </x:text>
    </x:comment>
    <x:comment ref="K15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KALKULACE_A_PARAMETRICKE_PAROVANI.md | Automatic standard opening deduction for quick estimation.</x:t>
        </x:r>
      </x:text>
    </x:comment>
    <x:comment ref="F16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ceny panelů.pdf | As-of: 2026-07-28 | Acquisition benchmark, not verified competitor selling price.</x:t>
        </x:r>
      </x:text>
    </x:comment>
    <x:comment ref="G16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Pilot commercial coefficient | Owner: management / sales | Review after each completed pilot project.</x:t>
        </x:r>
      </x:text>
    </x:comment>
    <x:comment ref="K16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KALKULACE_A_PARAMETRICKE_PAROVANI.md | Automatic standard opening deduction for quick estimation.</x:t>
        </x:r>
      </x:text>
    </x:comment>
  </x:commentList>
</x:comments>
</file>

<file path=xl/comments2.xml><?xml version="1.0" encoding="utf-8"?>
<x:comments xmlns:x="http://schemas.openxmlformats.org/spreadsheetml/2006/main">
  <x:authors>
    <x:author>tc={1EC84071-30F5-C265-BA51-0DF46A72AFAD}</x:author>
    <x:author>tc={A80A58FE-DFC0-61F2-92AF-344827CB8212}</x:author>
    <x:author>tc={69941129-A78A-FD0C-AEE5-CDAD49BEDA3A}</x:author>
    <x:author>tc={3C82F9D8-B719-D3F6-A129-68E3DBE55AC3}</x:author>
    <x:author>tc={A1315A04-6D4B-FD4C-A67F-B11E752CD113}</x:author>
    <x:author>tc={C92C56DA-8D04-CD19-A511-0D8219CD59B5}</x:author>
    <x:author>tc={5CDF9302-9BF3-B2DB-4798-26C978ABEB7C}</x:author>
    <x:author>tc={8C976F29-0C13-48C3-7B1C-02CC89D0FF26}</x:author>
    <x:author>tc={ACE609C2-3B64-95DE-4ECB-BD0B52103BA4}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Pilot assumption | Date: 2026-08-02 | Replace or calibrate from completed projects and actual invoices.</x:t>
        </x:r>
      </x:text>
    </x:comment>
    <x:comment ref="B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Pilot assumption | Date: 2026-08-02 | Replace or calibrate from completed projects and actual invoices.</x:t>
        </x:r>
      </x:text>
    </x:comment>
    <x:comment ref="B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Pilot assumption | Date: 2026-08-02 | Replace or calibrate from completed projects and actual invoices.</x:t>
        </x:r>
      </x:text>
    </x:comment>
    <x:comment ref="B10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Pilot assumption | Date: 2026-08-02 | Replace or calibrate from completed projects and actual invoices.</x:t>
        </x:r>
      </x:text>
    </x:comment>
    <x:comment ref="B1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Pilot assumption | Date: 2026-08-02 | Replace or calibrate from completed projects and actual invoices.</x:t>
        </x:r>
      </x:text>
    </x:comment>
    <x:comment ref="B12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Pilot assumption | Date: 2026-08-02 | Replace or calibrate from completed projects and actual invoices.</x:t>
        </x:r>
      </x:text>
    </x:comment>
    <x:comment ref="B1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Pilot assumption | Date: 2026-08-02 | Replace or calibrate from completed projects and actual invoices.</x:t>
        </x:r>
      </x:text>
    </x:comment>
    <x:comment ref="B14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Pilot assumption | Date: 2026-08-02 | Replace or calibrate from completed projects and actual invoices.</x:t>
        </x:r>
      </x:text>
    </x:comment>
    <x:comment ref="B15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Pilot assumption | Date: 2026-08-02 | Replace or calibrate from completed projects and actual invoices.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#,##0 &quot;Kč/m²&quot;;[Red](#,##0 &quot;Kč/m²&quot;);-"/>
    <x:numFmt numFmtId="201" formatCode="0.000x"/>
    <x:numFmt numFmtId="202" formatCode="0.0%;[Red](0.0%);-"/>
    <x:numFmt numFmtId="203" formatCode="0.0"/>
    <x:numFmt numFmtId="204" formatCode="#,##0 &quot;Kč&quot;;[Red](#,##0 &quot;Kč&quot;);-"/>
    <x:numFmt numFmtId="205" formatCode="0.00 &quot;m²&quot;"/>
    <x:numFmt numFmtId="206" formatCode="0"/>
    <x:numFmt numFmtId="207" formatCode="yyyy-mm-dd"/>
    <x:numFmt numFmtId="208" formatCode="0 &quot;m²&quot;"/>
    <x:numFmt numFmtId="209" formatCode="0 &quot;km jedním směrem&quot;"/>
    <x:numFmt numFmtId="210" formatCode="0 &quot;závozů&quot;"/>
    <x:numFmt numFmtId="211" formatCode="#,##0.00;[Red](#,##0.00);-"/>
  </x:numFmts>
  <x:fonts count="1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sz val="11"/>
      <x:color rgb="FF0000FF"/>
      <x:name val="Carlito"/>
    </x:font>
    <x:font>
      <x:b/>
      <x:sz val="11"/>
      <x:color rgb="FF183A37"/>
      <x:name val="Carlito"/>
    </x:font>
    <x:font>
      <x:b/>
      <x:sz val="11"/>
      <x:color rgb="FF0000FF"/>
      <x:name val="Carlito"/>
    </x:font>
    <x:font>
      <x:b/>
      <x:sz val="11"/>
      <x:color rgb="FF667085"/>
      <x:name val="Carlito"/>
    </x:font>
    <x:font>
      <x:sz val="11"/>
      <x:color rgb="FF008000"/>
      <x:name val="Carlito"/>
    </x:font>
    <x:font>
      <x:b/>
      <x:sz val="20"/>
      <x:color rgb="FFFFFFFF"/>
      <x:name val="Carlito"/>
    </x:font>
    <x:font>
      <x:b/>
      <x:sz val="11"/>
      <x:color rgb="FF7A4E00"/>
      <x:name val="Carlito"/>
    </x:font>
    <x:font>
      <x:i/>
      <x:sz val="11"/>
      <x:color rgb="FF667085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3A37"/>
      </x:patternFill>
    </x:fill>
    <x:fill>
      <x:patternFill patternType="solid">
        <x:fgColor rgb="FFF4F1EA"/>
      </x:patternFill>
    </x:fill>
    <x:fill>
      <x:patternFill patternType="solid">
        <x:fgColor rgb="FF28524C"/>
      </x:patternFill>
    </x:fill>
    <x:fill>
      <x:patternFill patternType="solid">
        <x:fgColor rgb="FFFFF4BF"/>
      </x:patternFill>
    </x:fill>
    <x:fill>
      <x:patternFill patternType="solid">
        <x:fgColor rgb="FFDDEFE5"/>
      </x:patternFill>
    </x:fill>
    <x:fill>
      <x:patternFill patternType="solid">
        <x:fgColor rgb="FFFFF0C2"/>
      </x:patternFill>
    </x:fill>
    <x:fill>
      <x:patternFill patternType="solid">
        <x:fgColor rgb="FFEAF2F8"/>
      </x:patternFill>
    </x:fill>
  </x:fills>
  <x:borders count="12">
    <x:border/>
    <x:border>
      <x:right style="thin">
        <x:color rgb="FF7B9692"/>
      </x:right>
    </x:border>
    <x:border>
      <x:left style="thin">
        <x:color rgb="FF7B9692"/>
      </x:left>
      <x:right style="thin">
        <x:color rgb="FF7B9692"/>
      </x:right>
    </x:border>
    <x:border>
      <x:left style="thin">
        <x:color rgb="FF7B9692"/>
      </x:left>
    </x:border>
    <x:border>
      <x:left style="thin">
        <x:color rgb="FF9FBEB2"/>
      </x:left>
      <x:top style="thin">
        <x:color rgb="FF9FBEB2"/>
      </x:top>
    </x:border>
    <x:border>
      <x:top style="thin">
        <x:color rgb="FF9FBEB2"/>
      </x:top>
    </x:border>
    <x:border>
      <x:right style="thin">
        <x:color rgb="FF9FBEB2"/>
      </x:right>
      <x:top style="thin">
        <x:color rgb="FF9FBEB2"/>
      </x:top>
    </x:border>
    <x:border>
      <x:left style="thin">
        <x:color rgb="FF9FBEB2"/>
      </x:left>
    </x:border>
    <x:border>
      <x:right style="thin">
        <x:color rgb="FF9FBEB2"/>
      </x:right>
    </x:border>
    <x:border>
      <x:left style="thin">
        <x:color rgb="FF9FBEB2"/>
      </x:left>
      <x:bottom style="thin">
        <x:color rgb="FF9FBEB2"/>
      </x:bottom>
    </x:border>
    <x:border>
      <x:bottom style="thin">
        <x:color rgb="FF9FBEB2"/>
      </x:bottom>
    </x:border>
    <x:border>
      <x:right style="thin">
        <x:color rgb="FF9FBEB2"/>
      </x:right>
      <x:bottom style="thin">
        <x:color rgb="FF9FBEB2"/>
      </x:bottom>
    </x:border>
  </x:borders>
  <x:cellStyleXfs count="1">
    <x:xf numFmtId="0" fontId="0" fillId="0" borderId="0"/>
  </x:cellStyleXfs>
  <x:cellXfs count="1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0" fillId="0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202" fontId="5" fillId="5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202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4" fontId="5" fillId="5" borderId="0" xfId="0" applyNumberFormat="1" applyFont="1" applyFill="1" applyBorder="1"/>
    <x:xf numFmtId="205" fontId="5" fillId="5" borderId="0" xfId="0" applyNumberFormat="1" applyFont="1" applyFill="1" applyBorder="1"/>
    <x:xf numFmtId="206" fontId="5" fillId="5" borderId="0" xfId="0" applyNumberFormat="1" applyFont="1" applyFill="1" applyBorder="1"/>
    <x:xf numFmtId="207" fontId="0" fillId="0" borderId="0" xfId="0" applyNumberFormat="1" applyFont="1" applyFill="1" applyBorder="1"/>
    <x:xf numFmtId="204" fontId="5" fillId="5" borderId="0" xfId="0" applyNumberFormat="1" applyFont="1" applyFill="1" applyBorder="1" applyAlignment="1">
      <x:alignment vertical="center"/>
    </x:xf>
    <x:xf numFmtId="205" fontId="5" fillId="5" borderId="0" xfId="0" applyNumberFormat="1" applyFont="1" applyFill="1" applyBorder="1" applyAlignment="1">
      <x:alignment vertical="center"/>
    </x:xf>
    <x:xf numFmtId="206" fontId="5" fillId="5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208" fontId="7" fillId="5" borderId="0" xfId="0" applyNumberFormat="1" applyFont="1" applyFill="1" applyBorder="1" applyAlignment="1">
      <x:alignment vertical="center" wrapText="1"/>
    </x:xf>
    <x:xf numFmtId="209" fontId="7" fillId="5" borderId="0" xfId="0" applyNumberFormat="1" applyFont="1" applyFill="1" applyBorder="1" applyAlignment="1">
      <x:alignment vertical="center" wrapText="1"/>
    </x:xf>
    <x:xf numFmtId="207" fontId="7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8" fillId="6" borderId="4" xfId="0" applyNumberFormat="1" applyFont="1" applyFill="1" applyBorder="1"/>
    <x:xf numFmtId="0" fontId="8" fillId="6" borderId="7" xfId="0" applyNumberFormat="1" applyFont="1" applyFill="1" applyBorder="1"/>
    <x:xf numFmtId="0" fontId="8" fillId="6" borderId="9" xfId="0" applyNumberFormat="1" applyFont="1" applyFill="1" applyBorder="1"/>
    <x:xf numFmtId="0" fontId="8" fillId="6" borderId="5" xfId="0" applyNumberFormat="1" applyFont="1" applyFill="1" applyBorder="1"/>
    <x:xf numFmtId="0" fontId="8" fillId="6" borderId="0" xfId="0" applyNumberFormat="1" applyFont="1" applyFill="1" applyBorder="1"/>
    <x:xf numFmtId="0" fontId="8" fillId="6" borderId="10" xfId="0" applyNumberFormat="1" applyFont="1" applyFill="1" applyBorder="1"/>
    <x:xf numFmtId="0" fontId="9" fillId="6" borderId="5" xfId="0" applyNumberFormat="1" applyFont="1" applyFill="1" applyBorder="1"/>
    <x:xf numFmtId="0" fontId="9" fillId="6" borderId="0" xfId="0" applyNumberFormat="1" applyFont="1" applyFill="1" applyBorder="1"/>
    <x:xf numFmtId="0" fontId="9" fillId="6" borderId="10" xfId="0" applyNumberFormat="1" applyFont="1" applyFill="1" applyBorder="1"/>
    <x:xf numFmtId="0" fontId="9" fillId="6" borderId="6" xfId="0" applyNumberFormat="1" applyFont="1" applyFill="1" applyBorder="1"/>
    <x:xf numFmtId="0" fontId="9" fillId="6" borderId="8" xfId="0" applyNumberFormat="1" applyFont="1" applyFill="1" applyBorder="1"/>
    <x:xf numFmtId="0" fontId="9" fillId="6" borderId="11" xfId="0" applyNumberFormat="1" applyFont="1" applyFill="1" applyBorder="1"/>
    <x:xf numFmtId="204" fontId="9" fillId="6" borderId="5" xfId="0" applyNumberFormat="1" applyFont="1" applyFill="1" applyBorder="1"/>
    <x:xf numFmtId="204" fontId="9" fillId="6" borderId="0" xfId="0" applyNumberFormat="1" applyFont="1" applyFill="1" applyBorder="1"/>
    <x:xf numFmtId="204" fontId="9" fillId="6" borderId="10" xfId="0" applyNumberFormat="1" applyFont="1" applyFill="1" applyBorder="1"/>
    <x:xf numFmtId="204" fontId="9" fillId="6" borderId="6" xfId="0" applyNumberFormat="1" applyFont="1" applyFill="1" applyBorder="1"/>
    <x:xf numFmtId="204" fontId="9" fillId="6" borderId="8" xfId="0" applyNumberFormat="1" applyFont="1" applyFill="1" applyBorder="1"/>
    <x:xf numFmtId="200" fontId="9" fillId="6" borderId="8" xfId="0" applyNumberFormat="1" applyFont="1" applyFill="1" applyBorder="1"/>
    <x:xf numFmtId="205" fontId="9" fillId="6" borderId="8" xfId="0" applyNumberFormat="1" applyFont="1" applyFill="1" applyBorder="1"/>
    <x:xf numFmtId="210" fontId="9" fillId="6" borderId="8" xfId="0" applyNumberFormat="1" applyFont="1" applyFill="1" applyBorder="1"/>
    <x:xf numFmtId="202" fontId="9" fillId="6" borderId="1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204" fontId="10" fillId="2" borderId="0" xfId="0" applyNumberFormat="1" applyFont="1" applyFill="1" applyBorder="1"/>
    <x:xf numFmtId="204" fontId="10" fillId="2" borderId="0" xfId="0" applyNumberFormat="1" applyFont="1" applyFill="1" applyBorder="1" applyAlignment="1">
      <x:alignment horizontal="center"/>
    </x:xf>
    <x:xf numFmtId="204" fontId="10" fillId="2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horizontal="left" wrapText="1"/>
    </x:xf>
    <x:xf numFmtId="0" fontId="11" fillId="7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2" fillId="8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211" fontId="5" fillId="5" borderId="0" xfId="0" applyNumberFormat="1" applyFont="1" applyFill="1" applyBorder="1"/>
    <x:xf numFmtId="211" fontId="0" fillId="0" borderId="0" xfId="0" applyNumberFormat="1" applyFont="1" applyFill="1" applyBorder="1"/>
    <x:xf numFmtId="202" fontId="9" fillId="0" borderId="0" xfId="0" applyNumberFormat="1" applyFont="1" applyFill="1" applyBorder="1"/>
    <x:xf numFmtId="205" fontId="0" fillId="0" borderId="0" xfId="0" applyNumberFormat="1" applyFont="1" applyFill="1" applyBorder="1"/>
    <x:xf numFmtId="200" fontId="9" fillId="0" borderId="0" xfId="0" applyNumberFormat="1" applyFont="1" applyFill="1" applyBorder="1"/>
    <x:xf numFmtId="204" fontId="0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vertical="center"/>
    </x:xf>
    <x:xf numFmtId="204" fontId="9" fillId="6" borderId="5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vertical="center"/>
    </x:xf>
    <x:xf numFmtId="0" fontId="8" fillId="6" borderId="5" xfId="0" applyNumberFormat="1" applyFont="1" applyFill="1" applyBorder="1" applyAlignment="1">
      <x:alignment vertical="center"/>
    </x:xf>
    <x:xf numFmtId="204" fontId="9" fillId="6" borderId="6" xfId="0" applyNumberFormat="1" applyFont="1" applyFill="1" applyBorder="1" applyAlignment="1">
      <x:alignment vertical="center"/>
    </x:xf>
    <x:xf numFmtId="0" fontId="8" fillId="6" borderId="7" xfId="0" applyNumberFormat="1" applyFont="1" applyFill="1" applyBorder="1" applyAlignment="1">
      <x:alignment vertical="center"/>
    </x:xf>
    <x:xf numFmtId="204" fontId="9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204" fontId="9" fillId="6" borderId="8" xfId="0" applyNumberFormat="1" applyFont="1" applyFill="1" applyBorder="1" applyAlignment="1">
      <x:alignment vertical="center"/>
    </x:xf>
    <x:xf numFmtId="0" fontId="9" fillId="6" borderId="8" xfId="0" applyNumberFormat="1" applyFont="1" applyFill="1" applyBorder="1" applyAlignment="1">
      <x:alignment vertical="center"/>
    </x:xf>
    <x:xf numFmtId="200" fontId="9" fillId="6" borderId="8" xfId="0" applyNumberFormat="1" applyFont="1" applyFill="1" applyBorder="1" applyAlignment="1">
      <x:alignment vertical="center"/>
    </x:xf>
    <x:xf numFmtId="205" fontId="9" fillId="6" borderId="8" xfId="0" applyNumberFormat="1" applyFont="1" applyFill="1" applyBorder="1" applyAlignment="1">
      <x:alignment vertical="center"/>
    </x:xf>
    <x:xf numFmtId="210" fontId="9" fillId="6" borderId="8" xfId="0" applyNumberFormat="1" applyFont="1" applyFill="1" applyBorder="1" applyAlignment="1">
      <x:alignment vertical="center"/>
    </x:xf>
    <x:xf numFmtId="0" fontId="8" fillId="6" borderId="9" xfId="0" applyNumberFormat="1" applyFont="1" applyFill="1" applyBorder="1" applyAlignment="1">
      <x:alignment vertical="center"/>
    </x:xf>
    <x:xf numFmtId="204" fontId="9" fillId="6" borderId="10" xfId="0" applyNumberFormat="1" applyFont="1" applyFill="1" applyBorder="1" applyAlignment="1">
      <x:alignment vertical="center"/>
    </x:xf>
    <x:xf numFmtId="0" fontId="0" fillId="6" borderId="10" xfId="0" applyNumberFormat="1" applyFont="1" applyFill="1" applyBorder="1" applyAlignment="1">
      <x:alignment vertical="center"/>
    </x:xf>
    <x:xf numFmtId="0" fontId="8" fillId="6" borderId="10" xfId="0" applyNumberFormat="1" applyFont="1" applyFill="1" applyBorder="1" applyAlignment="1">
      <x:alignment vertical="center"/>
    </x:xf>
    <x:xf numFmtId="202" fontId="9" fillId="6" borderId="11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11" fontId="5" fillId="5" borderId="0" xfId="0" applyNumberFormat="1" applyFont="1" applyFill="1" applyBorder="1" applyAlignment="1">
      <x:alignment vertical="center"/>
    </x:xf>
    <x:xf numFmtId="211" fontId="0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208" fontId="9" fillId="0" borderId="0" xfId="0" applyNumberFormat="1" applyFont="1" applyFill="1" applyBorder="1"/>
    <x:xf numFmtId="204" fontId="9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9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208" fontId="9" fillId="0" borderId="0" xfId="0" applyNumberFormat="1" applyFont="1" applyFill="1" applyBorder="1" applyAlignment="1">
      <x:alignment vertical="center"/>
    </x:xf>
    <x:xf numFmtId="204" fontId="9" fillId="0" borderId="0" xfId="0" applyNumberFormat="1" applyFont="1" applyFill="1" applyBorder="1" applyAlignment="1">
      <x:alignment vertical="center"/>
    </x:xf>
    <x:xf numFmtId="205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0">
    <x:dxf>
      <x:font>
        <x:b/>
        <x:color rgb="FF9C0006"/>
      </x:font>
      <x:fill>
        <x:patternFill patternType="solid">
          <x:bgColor rgb="FFFADBD8"/>
        </x:patternFill>
      </x:fill>
    </x:dxf>
    <x:dxf>
      <x:font>
        <x:b/>
        <x:color rgb="FF9C0006"/>
      </x:font>
      <x:fill>
        <x:patternFill patternType="solid">
          <x:bgColor rgb="FFFADBD8"/>
        </x:patternFill>
      </x:fill>
    </x:dxf>
    <x:dxf>
      <x:font>
        <x:b/>
        <x:color rgb="FF9C6500"/>
      </x:font>
      <x:fill>
        <x:patternFill patternType="solid">
          <x:bgColor rgb="FFFFF0C2"/>
        </x:patternFill>
      </x:fill>
    </x:dxf>
    <x:dxf>
      <x:font>
        <x:b/>
        <x:color rgb="FF274E13"/>
      </x:font>
      <x:fill>
        <x:patternFill patternType="solid">
          <x:bgColor rgb="FFB7DCC7"/>
        </x:patternFill>
      </x:fill>
    </x:dxf>
    <x:dxf>
      <x:font>
        <x:b/>
        <x:color rgb="FF274E13"/>
      </x:font>
      <x:fill>
        <x:patternFill patternType="solid">
          <x:bgColor rgb="FFB7DCC7"/>
        </x:patternFill>
      </x:fill>
    </x:dxf>
    <x:dxf>
      <x:font>
        <x:b/>
        <x:color rgb="FF9C0006"/>
      </x:font>
      <x:fill>
        <x:patternFill patternType="solid">
          <x:bgColor rgb="FFFADBD8"/>
        </x:patternFill>
      </x:fill>
    </x:dxf>
    <x:dxf>
      <x:font>
        <x:b/>
        <x:color rgb="FF9C0006"/>
      </x:font>
      <x:fill>
        <x:patternFill patternType="solid">
          <x:bgColor rgb="FFFADBD8"/>
        </x:patternFill>
      </x:fill>
    </x:dxf>
    <x:dxf>
      <x:font>
        <x:b/>
        <x:color rgb="FF9C6500"/>
      </x:font>
      <x:fill>
        <x:patternFill patternType="solid">
          <x:bgColor rgb="FFFFF0C2"/>
        </x:patternFill>
      </x:fill>
    </x:dxf>
    <x:dxf>
      <x:font>
        <x:b/>
        <x:color rgb="FF274E13"/>
      </x:font>
      <x:fill>
        <x:patternFill patternType="solid">
          <x:bgColor rgb="FFB7DCC7"/>
        </x:patternFill>
      </x:fill>
    </x:dxf>
    <x:dxf>
      <x:font>
        <x:b/>
        <x:color rgb="FF274E13"/>
      </x:font>
      <x:fill>
        <x:patternFill patternType="solid">
          <x:bgColor rgb="FFB7DCC7"/>
        </x:patternFill>
      </x:fill>
    </x:dxf>
    <x:dxf>
      <x:font>
        <x:b/>
        <x:color rgb="FF9C0006"/>
      </x:font>
      <x:fill>
        <x:patternFill patternType="solid">
          <x:bgColor rgb="FFFADBD8"/>
        </x:patternFill>
      </x:fill>
    </x:dxf>
    <x:dxf>
      <x:font>
        <x:b/>
        <x:color rgb="FF9C0006"/>
      </x:font>
      <x:fill>
        <x:patternFill patternType="solid">
          <x:bgColor rgb="FFFADBD8"/>
        </x:patternFill>
      </x:fill>
    </x:dxf>
    <x:dxf>
      <x:font>
        <x:b/>
        <x:color rgb="FF9C6500"/>
      </x:font>
      <x:fill>
        <x:patternFill patternType="solid">
          <x:bgColor rgb="FFFFF0C2"/>
        </x:patternFill>
      </x:fill>
    </x:dxf>
    <x:dxf>
      <x:font>
        <x:b/>
        <x:color rgb="FF274E13"/>
      </x:font>
      <x:fill>
        <x:patternFill patternType="solid">
          <x:bgColor rgb="FFB7DCC7"/>
        </x:patternFill>
      </x:fill>
    </x:dxf>
    <x:dxf>
      <x:font>
        <x:b/>
        <x:color rgb="FF274E13"/>
      </x:font>
      <x:fill>
        <x:patternFill patternType="solid">
          <x:bgColor rgb="FFB7DCC7"/>
        </x:patternFill>
      </x:fill>
    </x:dxf>
    <x:dxf>
      <x:font>
        <x:b/>
        <x:color rgb="FF9C0006"/>
      </x:font>
      <x:fill>
        <x:patternFill patternType="solid">
          <x:bgColor rgb="FFFADBD8"/>
        </x:patternFill>
      </x:fill>
    </x:dxf>
    <x:dxf>
      <x:font>
        <x:b/>
        <x:color rgb="FF9C0006"/>
      </x:font>
      <x:fill>
        <x:patternFill patternType="solid">
          <x:bgColor rgb="FFFADBD8"/>
        </x:patternFill>
      </x:fill>
    </x:dxf>
    <x:dxf>
      <x:font>
        <x:b/>
        <x:color rgb="FF9C6500"/>
      </x:font>
      <x:fill>
        <x:patternFill patternType="solid">
          <x:bgColor rgb="FFFFF0C2"/>
        </x:patternFill>
      </x:fill>
    </x:dxf>
    <x:dxf>
      <x:font>
        <x:b/>
        <x:color rgb="FF274E13"/>
      </x:font>
      <x:fill>
        <x:patternFill patternType="solid">
          <x:bgColor rgb="FFB7DCC7"/>
        </x:patternFill>
      </x:fill>
    </x:dxf>
    <x:dxf>
      <x:font>
        <x:b/>
        <x:color rgb="FF274E13"/>
      </x:font>
      <x:fill>
        <x:patternFill patternType="solid">
          <x:bgColor rgb="FFB7DC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10f2e7a1c4fc7" /><Relationship Type="http://schemas.openxmlformats.org/officeDocument/2006/relationships/theme" Target="/xl/theme/theme1.xml" Id="R65d3506cdcf142d7" /><Relationship Type="http://schemas.microsoft.com/office/2022/11/relationships/FeaturePropertyBag" Target="/xl/featurePropertyBag/featurePropertyBag.xml" Id="R2dc22eb582474d04" /><Relationship Type="http://schemas.openxmlformats.org/officeDocument/2006/relationships/sharedStrings" Target="/xl/sharedStrings.xml" Id="R37da9d2d91be47a3" /><Relationship Type="http://schemas.openxmlformats.org/officeDocument/2006/relationships/worksheet" Target="/xl/worksheets/sheet1.xml" Id="R69f1febca537496b" /><Relationship Type="http://schemas.openxmlformats.org/officeDocument/2006/relationships/worksheet" Target="/xl/worksheets/sheet2.xml" Id="Rf7bcfb6130634eb2" /><Relationship Type="http://schemas.openxmlformats.org/officeDocument/2006/relationships/worksheet" Target="/xl/worksheets/sheet3.xml" Id="R39339dbf098143b3" /><Relationship Type="http://schemas.openxmlformats.org/officeDocument/2006/relationships/worksheet" Target="/xl/worksheets/sheet4.xml" Id="R65ed1203a8ba4b19" /><Relationship Type="http://schemas.microsoft.com/office/2017/10/relationships/person" Target="/xl/persons/person.xml" Id="Rbd0c5543151148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Tereza Sigmundová" id="{B4B1B8BA-A7C8-417F-A9D1-7D832114C67C}"/>
</xltc:personList>
</file>

<file path=xl/tables/table1.xml><?xml version="1.0" encoding="utf-8"?>
<x:table xmlns:x="http://schemas.openxmlformats.org/spreadsheetml/2006/main" id="2" name="QuickCalculationTable" displayName="QuickCalculationTable" ref="A20:N70" headerRowCount="1" totalsRowCount="0" totalsRowShown="0">
  <x:tableColumns count="14">
    <x:tableColumn id="1" name="Položka"/>
    <x:tableColumn id="2" name="Podlaží / část"/>
    <x:tableColumn id="3" name="catalogId"/>
    <x:tableColumn id="4" name="Název panelu"/>
    <x:tableColumn id="5" name="Kategorie"/>
    <x:tableColumn id="6" name="Počet"/>
    <x:tableColumn id="7" name="Rozměr A / délka m"/>
    <x:tableColumn id="8" name="Rozměr B / výška m"/>
    <x:tableColumn id="9" name="Hrubá plocha m²"/>
    <x:tableColumn id="10" name="Odpočet otvorů"/>
    <x:tableColumn id="11" name="Započitatelná plocha m²"/>
    <x:tableColumn id="12" name="Cena Kč/m²"/>
    <x:tableColumn id="13" name="Cena celkem bez DPH"/>
    <x:tableColumn id="14" name="Kontrola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1" name="PilotPanelPricesTable" displayName="PilotPanelPricesTable" ref="A6:M16" headerRowCount="1" totalsRowCount="0" totalsRowShown="0">
  <x:tableColumns count="13">
    <x:tableColumn id="1" name="catalogId"/>
    <x:tableColumn id="2" name="Název panelu"/>
    <x:tableColumn id="3" name="Kategorie"/>
    <x:tableColumn id="4" name="Tloušťka mm"/>
    <x:tableColumn id="5" name="Benchmark"/>
    <x:tableColumn id="6" name="Pořizovací benchmark Kč/m²"/>
    <x:tableColumn id="7" name="Obchodní koeficient"/>
    <x:tableColumn id="8" name="Cena z benchmarku Kč/m²"/>
    <x:tableColumn id="9" name="Ruční cena Kč/m²"/>
    <x:tableColumn id="10" name="Publikovaná cena Kč/m²"/>
    <x:tableColumn id="11" name="Standardní odpočet otvorů"/>
    <x:tableColumn id="12" name="Aktivní"/>
    <x:tableColumn id="13" name="Poznámka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artExportTable" displayName="CartExportTable" ref="A6:K63" headerRowCount="1" totalsRowCount="0" totalsRowShown="0">
  <x:tableColumns count="11">
    <x:tableColumn id="1" name="lineNo"/>
    <x:tableColumn id="2" name="lineType"/>
    <x:tableColumn id="3" name="sku"/>
    <x:tableColumn id="4" name="title"/>
    <x:tableColumn id="5" name="quantity"/>
    <x:tableColumn id="6" name="unit"/>
    <x:tableColumn id="7" name="unitPriceExVat"/>
    <x:tableColumn id="8" name="totalExVat"/>
    <x:tableColumn id="9" name="estimated"/>
    <x:tableColumn id="10" name="source"/>
    <x:tableColumn id="11" name="not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F7" dT="2026-08-02T07:13:54.072" personId="{B4B1B8BA-A7C8-417F-A9D1-7D832114C67C}" id="{759BBFA2-AD00-DC43-DECB-2436F36DDBCC}">
    <xltc:text>Source: ceny panelů.pdf | As-of: 2026-07-28 | Acquisition benchmark, not verified competitor selling price.</xltc:text>
  </xltc:threadedComment>
  <xltc:threadedComment ref="G7" dT="2026-08-02T07:13:54.072" personId="{B4B1B8BA-A7C8-417F-A9D1-7D832114C67C}" id="{D2A49DB4-BCA0-550D-3D25-884121CB0AC9}">
    <xltc:text>Pilot commercial coefficient | Owner: management / sales | Review after each completed pilot project.</xltc:text>
  </xltc:threadedComment>
  <xltc:threadedComment ref="K7" dT="2026-08-02T07:13:54.072" personId="{B4B1B8BA-A7C8-417F-A9D1-7D832114C67C}" id="{851081F9-5100-0DF3-6DA7-90292AAFEEC8}">
    <xltc:text>Source: KALKULACE_A_PARAMETRICKE_PAROVANI.md | Automatic standard opening deduction for quick estimation.</xltc:text>
  </xltc:threadedComment>
  <xltc:threadedComment ref="F8" dT="2026-08-02T07:13:54.072" personId="{B4B1B8BA-A7C8-417F-A9D1-7D832114C67C}" id="{A37386AC-A5AF-27DF-0971-44652A5BC630}">
    <xltc:text>Source: ceny panelů.pdf | As-of: 2026-07-28 | Acquisition benchmark, not verified competitor selling price.</xltc:text>
  </xltc:threadedComment>
  <xltc:threadedComment ref="G8" dT="2026-08-02T07:13:54.072" personId="{B4B1B8BA-A7C8-417F-A9D1-7D832114C67C}" id="{1A89B8F6-7F3B-6939-0DA7-2945A689C391}">
    <xltc:text>Pilot commercial coefficient | Owner: management / sales | Review after each completed pilot project.</xltc:text>
  </xltc:threadedComment>
  <xltc:threadedComment ref="K8" dT="2026-08-02T07:13:54.072" personId="{B4B1B8BA-A7C8-417F-A9D1-7D832114C67C}" id="{D12D1206-D58F-CED8-80D6-23FDB59A0C4B}">
    <xltc:text>Source: KALKULACE_A_PARAMETRICKE_PAROVANI.md | Automatic standard opening deduction for quick estimation.</xltc:text>
  </xltc:threadedComment>
  <xltc:threadedComment ref="F9" dT="2026-08-02T07:13:54.072" personId="{B4B1B8BA-A7C8-417F-A9D1-7D832114C67C}" id="{0AF67C99-14BF-8053-EDAB-7501D731A2B3}">
    <xltc:text>Source: ceny panelů.pdf | As-of: 2026-07-28 | Acquisition benchmark, not verified competitor selling price.</xltc:text>
  </xltc:threadedComment>
  <xltc:threadedComment ref="G9" dT="2026-08-02T07:13:54.072" personId="{B4B1B8BA-A7C8-417F-A9D1-7D832114C67C}" id="{2D8E8B4B-E04C-2322-436F-5D752913424E}">
    <xltc:text>Pilot commercial coefficient | Owner: management / sales | Review after each completed pilot project.</xltc:text>
  </xltc:threadedComment>
  <xltc:threadedComment ref="K9" dT="2026-08-02T07:13:54.072" personId="{B4B1B8BA-A7C8-417F-A9D1-7D832114C67C}" id="{98255B1B-FC44-B19A-5398-596388EE96B6}">
    <xltc:text>Source: KALKULACE_A_PARAMETRICKE_PAROVANI.md | Automatic standard opening deduction for quick estimation.</xltc:text>
  </xltc:threadedComment>
  <xltc:threadedComment ref="F10" dT="2026-08-02T07:13:54.072" personId="{B4B1B8BA-A7C8-417F-A9D1-7D832114C67C}" id="{7198297F-C013-6E6E-A2F9-BDE2399A94BC}">
    <xltc:text>Source: ceny panelů.pdf | As-of: 2026-07-28 | Acquisition benchmark, not verified competitor selling price.</xltc:text>
  </xltc:threadedComment>
  <xltc:threadedComment ref="G10" dT="2026-08-02T07:13:54.073" personId="{B4B1B8BA-A7C8-417F-A9D1-7D832114C67C}" id="{03B3418D-CCD9-F1B8-137A-0ACD104F7333}">
    <xltc:text>Pilot commercial coefficient | Owner: management / sales | Review after each completed pilot project.</xltc:text>
  </xltc:threadedComment>
  <xltc:threadedComment ref="K10" dT="2026-08-02T07:13:54.073" personId="{B4B1B8BA-A7C8-417F-A9D1-7D832114C67C}" id="{F809CBB3-9A8F-907E-4B6E-7B0DD976A25C}">
    <xltc:text>Source: KALKULACE_A_PARAMETRICKE_PAROVANI.md | Automatic standard opening deduction for quick estimation.</xltc:text>
  </xltc:threadedComment>
  <xltc:threadedComment ref="F11" dT="2026-08-02T07:13:54.073" personId="{B4B1B8BA-A7C8-417F-A9D1-7D832114C67C}" id="{49BD2233-C12A-3ED2-5721-8579D76ED050}">
    <xltc:text>Source: ceny panelů.pdf | As-of: 2026-07-28 | Acquisition benchmark, not verified competitor selling price.</xltc:text>
  </xltc:threadedComment>
  <xltc:threadedComment ref="G11" dT="2026-08-02T07:13:54.073" personId="{B4B1B8BA-A7C8-417F-A9D1-7D832114C67C}" id="{FE462506-FBE9-4AA9-E6BB-CB02A77AE41F}">
    <xltc:text>Pilot commercial coefficient | Owner: management / sales | Review after each completed pilot project.</xltc:text>
  </xltc:threadedComment>
  <xltc:threadedComment ref="K11" dT="2026-08-02T07:13:54.073" personId="{B4B1B8BA-A7C8-417F-A9D1-7D832114C67C}" id="{01A73D1A-85CA-6BF1-0B8E-D1C45E79F8B5}">
    <xltc:text>Source: KALKULACE_A_PARAMETRICKE_PAROVANI.md | Automatic standard opening deduction for quick estimation.</xltc:text>
  </xltc:threadedComment>
  <xltc:threadedComment ref="F12" dT="2026-08-02T07:13:54.073" personId="{B4B1B8BA-A7C8-417F-A9D1-7D832114C67C}" id="{F04F7629-CFD2-B2E3-A657-9AA34B3C12DE}">
    <xltc:text>Source: ceny panelů.pdf | As-of: 2026-07-28 | Acquisition benchmark, not verified competitor selling price.</xltc:text>
  </xltc:threadedComment>
  <xltc:threadedComment ref="G12" dT="2026-08-02T07:13:54.073" personId="{B4B1B8BA-A7C8-417F-A9D1-7D832114C67C}" id="{8A942E89-966F-F6EA-0078-A144C8D51D12}">
    <xltc:text>Pilot commercial coefficient | Owner: management / sales | Review after each completed pilot project.</xltc:text>
  </xltc:threadedComment>
  <xltc:threadedComment ref="K12" dT="2026-08-02T07:13:54.073" personId="{B4B1B8BA-A7C8-417F-A9D1-7D832114C67C}" id="{F7878993-C2A9-F04B-C44C-47A0916E9208}">
    <xltc:text>Source: KALKULACE_A_PARAMETRICKE_PAROVANI.md | Automatic standard opening deduction for quick estimation.</xltc:text>
  </xltc:threadedComment>
  <xltc:threadedComment ref="F13" dT="2026-08-02T07:13:54.073" personId="{B4B1B8BA-A7C8-417F-A9D1-7D832114C67C}" id="{E65CF39F-8895-6A71-988D-4ED178AB9D38}">
    <xltc:text>Source: ceny panelů.pdf | As-of: 2026-07-28 | Acquisition benchmark, not verified competitor selling price.</xltc:text>
  </xltc:threadedComment>
  <xltc:threadedComment ref="G13" dT="2026-08-02T07:13:54.073" personId="{B4B1B8BA-A7C8-417F-A9D1-7D832114C67C}" id="{66223FA4-6B13-FF10-E491-16A5E7FC190B}">
    <xltc:text>Pilot commercial coefficient | Owner: management / sales | Review after each completed pilot project.</xltc:text>
  </xltc:threadedComment>
  <xltc:threadedComment ref="K13" dT="2026-08-02T07:13:54.073" personId="{B4B1B8BA-A7C8-417F-A9D1-7D832114C67C}" id="{F960ED56-89DD-081B-A02B-9BBEF26C8F1D}">
    <xltc:text>Source: KALKULACE_A_PARAMETRICKE_PAROVANI.md | Automatic standard opening deduction for quick estimation.</xltc:text>
  </xltc:threadedComment>
  <xltc:threadedComment ref="F14" dT="2026-08-02T07:13:54.073" personId="{B4B1B8BA-A7C8-417F-A9D1-7D832114C67C}" id="{CB1C943F-F8F7-BD97-D363-59095ECC0FA0}">
    <xltc:text>Source: ceny panelů.pdf | As-of: 2026-07-28 | Acquisition benchmark, not verified competitor selling price.</xltc:text>
  </xltc:threadedComment>
  <xltc:threadedComment ref="G14" dT="2026-08-02T07:13:54.073" personId="{B4B1B8BA-A7C8-417F-A9D1-7D832114C67C}" id="{955D0D74-6ACB-6C17-5B2D-5E752CABF704}">
    <xltc:text>Pilot commercial coefficient | Owner: management / sales | Review after each completed pilot project.</xltc:text>
  </xltc:threadedComment>
  <xltc:threadedComment ref="K14" dT="2026-08-02T07:13:54.073" personId="{B4B1B8BA-A7C8-417F-A9D1-7D832114C67C}" id="{AE75EB6C-3898-48EF-6F84-106E9DD4AE2C}">
    <xltc:text>Source: KALKULACE_A_PARAMETRICKE_PAROVANI.md | Automatic standard opening deduction for quick estimation.</xltc:text>
  </xltc:threadedComment>
  <xltc:threadedComment ref="F15" dT="2026-08-02T07:13:54.073" personId="{B4B1B8BA-A7C8-417F-A9D1-7D832114C67C}" id="{5CB359AF-B837-6555-FEBD-4C28D733572F}">
    <xltc:text>Source: ceny panelů.pdf | As-of: 2026-07-28 | Acquisition benchmark, not verified competitor selling price.</xltc:text>
  </xltc:threadedComment>
  <xltc:threadedComment ref="G15" dT="2026-08-02T07:13:54.073" personId="{B4B1B8BA-A7C8-417F-A9D1-7D832114C67C}" id="{5B66D675-C351-0725-AA31-9D8F3841B0BA}">
    <xltc:text>Pilot commercial coefficient | Owner: management / sales | Review after each completed pilot project.</xltc:text>
  </xltc:threadedComment>
  <xltc:threadedComment ref="K15" dT="2026-08-02T07:13:54.073" personId="{B4B1B8BA-A7C8-417F-A9D1-7D832114C67C}" id="{E1488256-2721-AABE-4454-8EA4C4665F8A}">
    <xltc:text>Source: KALKULACE_A_PARAMETRICKE_PAROVANI.md | Automatic standard opening deduction for quick estimation.</xltc:text>
  </xltc:threadedComment>
  <xltc:threadedComment ref="F16" dT="2026-08-02T07:13:54.073" personId="{B4B1B8BA-A7C8-417F-A9D1-7D832114C67C}" id="{94F8C5A7-131C-59F1-6369-813DFD752EA2}">
    <xltc:text>Source: ceny panelů.pdf | As-of: 2026-07-28 | Acquisition benchmark, not verified competitor selling price.</xltc:text>
  </xltc:threadedComment>
  <xltc:threadedComment ref="G16" dT="2026-08-02T07:13:54.073" personId="{B4B1B8BA-A7C8-417F-A9D1-7D832114C67C}" id="{B8DC6563-B4C3-3FD1-F565-2531E62F7E55}">
    <xltc:text>Pilot commercial coefficient | Owner: management / sales | Review after each completed pilot project.</xltc:text>
  </xltc:threadedComment>
  <xltc:threadedComment ref="K16" dT="2026-08-02T07:13:54.073" personId="{B4B1B8BA-A7C8-417F-A9D1-7D832114C67C}" id="{0CC3BE9B-7DC4-0C09-6794-424B44B1AEFC}">
    <xltc:text>Source: KALKULACE_A_PARAMETRICKE_PAROVANI.md | Automatic standard opening deduction for quick estimation.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7" dT="2026-08-02T07:13:54.073" personId="{B4B1B8BA-A7C8-417F-A9D1-7D832114C67C}" id="{1EC84071-30F5-C265-BA51-0DF46A72AFAD}">
    <xltc:text>Pilot assumption | Date: 2026-08-02 | Replace or calibrate from completed projects and actual invoices.</xltc:text>
  </xltc:threadedComment>
  <xltc:threadedComment ref="B8" dT="2026-08-02T07:13:54.073" personId="{B4B1B8BA-A7C8-417F-A9D1-7D832114C67C}" id="{A80A58FE-DFC0-61F2-92AF-344827CB8212}">
    <xltc:text>Pilot assumption | Date: 2026-08-02 | Replace or calibrate from completed projects and actual invoices.</xltc:text>
  </xltc:threadedComment>
  <xltc:threadedComment ref="B9" dT="2026-08-02T07:13:54.073" personId="{B4B1B8BA-A7C8-417F-A9D1-7D832114C67C}" id="{69941129-A78A-FD0C-AEE5-CDAD49BEDA3A}">
    <xltc:text>Pilot assumption | Date: 2026-08-02 | Replace or calibrate from completed projects and actual invoices.</xltc:text>
  </xltc:threadedComment>
  <xltc:threadedComment ref="B10" dT="2026-08-02T07:13:54.073" personId="{B4B1B8BA-A7C8-417F-A9D1-7D832114C67C}" id="{3C82F9D8-B719-D3F6-A129-68E3DBE55AC3}">
    <xltc:text>Pilot assumption | Date: 2026-08-02 | Replace or calibrate from completed projects and actual invoices.</xltc:text>
  </xltc:threadedComment>
  <xltc:threadedComment ref="B11" dT="2026-08-02T07:13:54.073" personId="{B4B1B8BA-A7C8-417F-A9D1-7D832114C67C}" id="{A1315A04-6D4B-FD4C-A67F-B11E752CD113}">
    <xltc:text>Pilot assumption | Date: 2026-08-02 | Replace or calibrate from completed projects and actual invoices.</xltc:text>
  </xltc:threadedComment>
  <xltc:threadedComment ref="B12" dT="2026-08-02T07:13:54.073" personId="{B4B1B8BA-A7C8-417F-A9D1-7D832114C67C}" id="{C92C56DA-8D04-CD19-A511-0D8219CD59B5}">
    <xltc:text>Pilot assumption | Date: 2026-08-02 | Replace or calibrate from completed projects and actual invoices.</xltc:text>
  </xltc:threadedComment>
  <xltc:threadedComment ref="B13" dT="2026-08-02T07:13:54.073" personId="{B4B1B8BA-A7C8-417F-A9D1-7D832114C67C}" id="{5CDF9302-9BF3-B2DB-4798-26C978ABEB7C}">
    <xltc:text>Pilot assumption | Date: 2026-08-02 | Replace or calibrate from completed projects and actual invoices.</xltc:text>
  </xltc:threadedComment>
  <xltc:threadedComment ref="B14" dT="2026-08-02T07:13:54.073" personId="{B4B1B8BA-A7C8-417F-A9D1-7D832114C67C}" id="{8C976F29-0C13-48C3-7B1C-02CC89D0FF26}">
    <xltc:text>Pilot assumption | Date: 2026-08-02 | Replace or calibrate from completed projects and actual invoices.</xltc:text>
  </xltc:threadedComment>
  <xltc:threadedComment ref="B15" dT="2026-08-02T07:13:54.073" personId="{B4B1B8BA-A7C8-417F-A9D1-7D832114C67C}" id="{ACE609C2-3B64-95DE-4ECB-BD0B52103BA4}">
    <xltc:text>Pilot assumption | Date: 2026-08-02 | Replace or calibrate from completed projects and actual invoices.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04b0aeca364e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d234adf0fa814f7d" /><Relationship Type="http://schemas.openxmlformats.org/officeDocument/2006/relationships/vmlDrawing" Target="/xl/drawings/vmldrawing.vml" Id="Rdf79b9b6447c46de" /><Relationship Type="http://schemas.microsoft.com/office/2017/10/relationships/threadedComment" Target="/xl/threadedcomments/threadedcomment.xml" Id="Rbdd103bc01d24770" /><Relationship Type="http://schemas.openxmlformats.org/officeDocument/2006/relationships/table" Target="/xl/tables/table2.xml" Id="R7fe71092e70b4f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2ce1cbe734a4493d" /><Relationship Type="http://schemas.openxmlformats.org/officeDocument/2006/relationships/vmlDrawing" Target="/xl/drawings/vmldrawing2.vml" Id="Rf199b0066eac49dd" /><Relationship Type="http://schemas.microsoft.com/office/2017/10/relationships/threadedComment" Target="/xl/threadedcomments/threadedcomment2.xml" Id="R596a4512826e4c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3bc1448ef147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3" hidden="0" customWidth="1"/>
    <x:col min="3" max="3" width="18" hidden="0" customWidth="1"/>
    <x:col min="4" max="4" width="50" hidden="0" customWidth="1"/>
    <x:col min="5" max="5" width="20" hidden="0" customWidth="1"/>
    <x:col min="6" max="6" width="10" hidden="0" customWidth="1"/>
    <x:col min="7" max="7" width="16" hidden="0" customWidth="1"/>
    <x:col min="8" max="8" width="16" hidden="0" customWidth="1"/>
    <x:col min="9" max="9" width="15" hidden="0" customWidth="1"/>
    <x:col min="10" max="10" width="15" hidden="0" customWidth="1"/>
    <x:col min="11" max="11" width="18" hidden="0" customWidth="1"/>
    <x:col min="12" max="12" width="16" hidden="0" customWidth="1"/>
    <x:col min="13" max="13" width="20" hidden="0" customWidth="1"/>
    <x:col min="14" max="14" width="24" hidden="0" customWidth="1"/>
  </x:cols>
  <x:sheetData>
    <x:row r="1" ht="34" customHeight="1">
      <x:c r="A1" s="3" t="str">
        <x:v>VESPER FRAMES — rychlá předobjednávka hrubé stavby</x:v>
      </x:c>
      <x:c r="B1" s="3" t="str">
        <x:v>VESPER FRAMES — rychlá předobjednávka hrubé stavby</x:v>
      </x:c>
      <x:c r="C1" s="3" t="str">
        <x:v>VESPER FRAMES — rychlá předobjednávka hrubé stavby</x:v>
      </x:c>
      <x:c r="D1" s="3" t="str">
        <x:v>VESPER FRAMES — rychlá předobjednávka hrubé stavby</x:v>
      </x:c>
      <x:c r="E1" s="3" t="str">
        <x:v>VESPER FRAMES — rychlá předobjednávka hrubé stavby</x:v>
      </x:c>
      <x:c r="F1" s="3" t="str">
        <x:v>VESPER FRAMES — rychlá předobjednávka hrubé stavby</x:v>
      </x:c>
      <x:c r="G1" s="3" t="str">
        <x:v>VESPER FRAMES — rychlá předobjednávka hrubé stavby</x:v>
      </x:c>
      <x:c r="H1" s="3" t="str">
        <x:v>VESPER FRAMES — rychlá předobjednávka hrubé stavby</x:v>
      </x:c>
      <x:c r="I1" s="3" t="str">
        <x:v>VESPER FRAMES — rychlá předobjednávka hrubé stavby</x:v>
      </x:c>
      <x:c r="J1" s="3" t="str">
        <x:v>VESPER FRAMES — rychlá předobjednávka hrubé stavby</x:v>
      </x:c>
      <x:c r="K1" s="3" t="str">
        <x:v>VESPER FRAMES — rychlá předobjednávka hrubé stavby</x:v>
      </x:c>
      <x:c r="L1" s="3" t="str">
        <x:v>VESPER FRAMES — rychlá předobjednávka hrubé stavby</x:v>
      </x:c>
      <x:c r="M1" s="3" t="str">
        <x:v>VESPER FRAMES — rychlá předobjednávka hrubé stavby</x:v>
      </x:c>
      <x:c r="N1" s="3" t="str">
        <x:v>VESPER FRAMES — rychlá předobjednávka hrubé stavby</x:v>
      </x:c>
    </x:row>
    <x:row r="2">
      <x:c r="A2" s="7" t="str">
        <x:v>Pilotní obchodní kalkulace pro rodinné domy s užitnou plochou 80–500 m². Cílem je rychlá orientační cena z minimálních vstupů; finální rozsah a více/méněpráce potvrdí konstruktér a projektový manažer.</x:v>
      </x:c>
      <x:c r="B2" s="7" t="str">
        <x:v>Pilotní obchodní kalkulace pro rodinné domy s užitnou plochou 80–500 m². Cílem je rychlá orientační cena z minimálních vstupů; finální rozsah a více/méněpráce potvrdí konstruktér a projektový manažer.</x:v>
      </x:c>
      <x:c r="C2" s="7" t="str">
        <x:v>Pilotní obchodní kalkulace pro rodinné domy s užitnou plochou 80–500 m². Cílem je rychlá orientační cena z minimálních vstupů; finální rozsah a více/méněpráce potvrdí konstruktér a projektový manažer.</x:v>
      </x:c>
      <x:c r="D2" s="7" t="str">
        <x:v>Pilotní obchodní kalkulace pro rodinné domy s užitnou plochou 80–500 m². Cílem je rychlá orientační cena z minimálních vstupů; finální rozsah a více/méněpráce potvrdí konstruktér a projektový manažer.</x:v>
      </x:c>
      <x:c r="E2" s="7" t="str">
        <x:v>Pilotní obchodní kalkulace pro rodinné domy s užitnou plochou 80–500 m². Cílem je rychlá orientační cena z minimálních vstupů; finální rozsah a více/méněpráce potvrdí konstruktér a projektový manažer.</x:v>
      </x:c>
      <x:c r="F2" s="7" t="str">
        <x:v>Pilotní obchodní kalkulace pro rodinné domy s užitnou plochou 80–500 m². Cílem je rychlá orientační cena z minimálních vstupů; finální rozsah a více/méněpráce potvrdí konstruktér a projektový manažer.</x:v>
      </x:c>
      <x:c r="G2" s="7" t="str">
        <x:v>Pilotní obchodní kalkulace pro rodinné domy s užitnou plochou 80–500 m². Cílem je rychlá orientační cena z minimálních vstupů; finální rozsah a více/méněpráce potvrdí konstruktér a projektový manažer.</x:v>
      </x:c>
      <x:c r="H2" s="7" t="str">
        <x:v>Pilotní obchodní kalkulace pro rodinné domy s užitnou plochou 80–500 m². Cílem je rychlá orientační cena z minimálních vstupů; finální rozsah a více/méněpráce potvrdí konstruktér a projektový manažer.</x:v>
      </x:c>
      <x:c r="I2" s="7" t="str">
        <x:v>Pilotní obchodní kalkulace pro rodinné domy s užitnou plochou 80–500 m². Cílem je rychlá orientační cena z minimálních vstupů; finální rozsah a více/méněpráce potvrdí konstruktér a projektový manažer.</x:v>
      </x:c>
      <x:c r="J2" s="7" t="str">
        <x:v>Pilotní obchodní kalkulace pro rodinné domy s užitnou plochou 80–500 m². Cílem je rychlá orientační cena z minimálních vstupů; finální rozsah a více/méněpráce potvrdí konstruktér a projektový manažer.</x:v>
      </x:c>
      <x:c r="K2" s="7" t="str">
        <x:v>Pilotní obchodní kalkulace pro rodinné domy s užitnou plochou 80–500 m². Cílem je rychlá orientační cena z minimálních vstupů; finální rozsah a více/méněpráce potvrdí konstruktér a projektový manažer.</x:v>
      </x:c>
      <x:c r="L2" s="7" t="str">
        <x:v>Pilotní obchodní kalkulace pro rodinné domy s užitnou plochou 80–500 m². Cílem je rychlá orientační cena z minimálních vstupů; finální rozsah a více/méněpráce potvrdí konstruktér a projektový manažer.</x:v>
      </x:c>
      <x:c r="M2" s="7" t="str">
        <x:v>Pilotní obchodní kalkulace pro rodinné domy s užitnou plochou 80–500 m². Cílem je rychlá orientační cena z minimálních vstupů; finální rozsah a více/méněpráce potvrdí konstruktér a projektový manažer.</x:v>
      </x:c>
      <x:c r="N2" s="7" t="str">
        <x:v>Pilotní obchodní kalkulace pro rodinné domy s užitnou plochou 80–500 m². Cílem je rychlá orientační cena z minimálních vstupů; finální rozsah a více/méněpráce potvrdí konstruktér a projektový manažer.</x:v>
      </x:c>
    </x:row>
    <x:row r="3">
      <x:c r="A3" s="50" t="str">
        <x:v>Projekt</x:v>
      </x:c>
      <x:c r="B3" s="52" t="str">
        <x:v>Modelový rodinný dům</x:v>
      </x:c>
      <x:c r="C3" s="52" t="str">
        <x:v>Modelový rodinný dům</x:v>
      </x:c>
      <x:c r="D3" s="52" t="str">
        <x:v>Modelový rodinný dům</x:v>
      </x:c>
      <x:c r="E3" s="50" t="str">
        <x:v>Užitná plocha</x:v>
      </x:c>
      <x:c r="F3" s="53" t="n">
        <x:v>100</x:v>
      </x:c>
      <x:c r="G3" s="50" t="str">
        <x:v>Počet podlaží</x:v>
      </x:c>
      <x:c r="H3" s="52" t="n">
        <x:v>1</x:v>
      </x:c>
      <x:c r="I3" s="50" t="str">
        <x:v>Kvalita podkladu</x:v>
      </x:c>
      <x:c r="J3" s="52" t="str">
        <x:v>Standardní dokumentace</x:v>
      </x:c>
      <x:c r="K3" s="50" t="str">
        <x:v>Vzdálenost stavby</x:v>
      </x:c>
      <x:c r="L3" s="54" t="n">
        <x:v>100</x:v>
      </x:c>
      <x:c r="M3" s="50" t="str">
        <x:v>Platnost ceny k</x:v>
      </x:c>
      <x:c r="N3" s="55" t="n">
        <x:v>46236</x:v>
      </x:c>
    </x:row>
    <x:row r="4">
      <x:c r="A4" s="50" t="str">
        <x:v>Typ nabídky</x:v>
      </x:c>
      <x:c r="B4" s="50" t="str">
        <x:v>Předobjednávka kompletní hrubé stavby</x:v>
      </x:c>
      <x:c r="C4" s="50" t="str">
        <x:v>Předobjednávka kompletní hrubé stavby</x:v>
      </x:c>
      <x:c r="D4" s="50" t="str">
        <x:v>Předobjednávka kompletní hrubé stavby</x:v>
      </x:c>
      <x:c r="E4" s="50" t="str">
        <x:v>STAV KALKULACE</x:v>
      </x:c>
      <x:c r="F4" s="50" t="str">
        <x:f>IF(OR(F3&lt;80,F3&gt;500),"MIMO ROZSAH 80–500 m²",IF(COUNTIF('02_Cenik_panelu'!$J$7:$J$16,"&gt;0")&lt;10,"CHYBA CENÍKU",IF(COUNTIF(N21:N70,"CHYBA*")&gt;0,"CHYBA V POLOŽKÁCH",IF(COUNTIF(C21:C70,"&lt;&gt;")=0,"CHYBÍ PANELY",IF(L3&lt;=0,"CHYBÍ VZDÁLENOST",IF(COUNTIF(E21:E70,"Obvodová stěna")=0,"CHYBÍ OBVODOVÉ STĚNY",IF(COUNTIF(E21:E70,"Střecha")=0,"CHYBÍ STŘECHA",IF(COUNTIF(E21:E70,"Strop / podlaha")=0,"CHYBÍ PODLAHA / STROP","PŘEDBĚŽNÁ CENA K POTVRZENÍ"))))))))</x:f>
        <x:v>PŘEDBĚŽNÁ CENA K POTVRZENÍ</x:v>
      </x:c>
      <x:c r="G4" s="50"/>
      <x:c r="H4" s="50"/>
      <x:c r="I4" s="50"/>
      <x:c r="J4" s="50"/>
      <x:c r="K4" s="50" t="str">
        <x:v>Uživatel konfigurátoru zadává pouze projektovou dokumentaci, místo stavby a základní údaje. Panelové řádky vyplní AI.</x:v>
      </x:c>
      <x:c r="L4" s="50" t="str">
        <x:v>Uživatel konfigurátoru zadává pouze projektovou dokumentaci, místo stavby a základní údaje. Panelové řádky vyplní AI.</x:v>
      </x:c>
      <x:c r="M4" s="50" t="str">
        <x:v>Uživatel konfigurátoru zadává pouze projektovou dokumentaci, místo stavby a základní údaje. Panelové řádky vyplní AI.</x:v>
      </x:c>
      <x:c r="N4" s="50" t="str">
        <x:v>Uživatel konfigurátoru zadává pouze projektovou dokumentaci, místo stavby a základní údaje. Panelové řádky vyplní AI.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</x:row>
    <x:row r="6" ht="25" customHeight="1">
      <x:c r="A6" s="10" t="str">
        <x:v>Rychlá cena a nákupní košík</x:v>
      </x:c>
      <x:c r="B6" s="10" t="str">
        <x:v>Rychlá cena a nákupní košík</x:v>
      </x:c>
      <x:c r="C6" s="10" t="str">
        <x:v>Rychlá cena a nákupní košík</x:v>
      </x:c>
      <x:c r="D6" s="10" t="str">
        <x:v>Rychlá cena a nákupní košík</x:v>
      </x:c>
      <x:c r="E6" s="10" t="str">
        <x:v>Rychlá cena a nákupní košík</x:v>
      </x:c>
      <x:c r="F6" s="10" t="str">
        <x:v>Rychlá cena a nákupní košík</x:v>
      </x:c>
      <x:c r="G6" s="10" t="str">
        <x:v>Rychlá cena a nákupní košík</x:v>
      </x:c>
      <x:c r="H6" s="10" t="str">
        <x:v>Rychlá cena a nákupní košík</x:v>
      </x:c>
      <x:c r="I6" s="10" t="str">
        <x:v>Rychlá cena a nákupní košík</x:v>
      </x:c>
      <x:c r="J6" s="10" t="str">
        <x:v>Rychlá cena a nákupní košík</x:v>
      </x:c>
      <x:c r="K6" s="10" t="str">
        <x:v>Rychlá cena a nákupní košík</x:v>
      </x:c>
      <x:c r="L6" s="10" t="str">
        <x:v>Rychlá cena a nákupní košík</x:v>
      </x:c>
      <x:c r="M6" s="10" t="str">
        <x:v>Rychlá cena a nákupní košík</x:v>
      </x:c>
      <x:c r="N6" s="10" t="str">
        <x:v>Rychlá cena a nákupní košík</x:v>
      </x:c>
    </x:row>
    <x:row r="7">
      <x:c r="A7" s="109" t="str">
        <x:v>Panelové konstrukce / výroba</x:v>
      </x:c>
      <x:c r="B7" s="110" t="n">
        <x:f>SUM(M21:M70)</x:f>
        <x:v>2394168.77</x:v>
      </x:c>
      <x:c r="C7" s="111"/>
      <x:c r="D7" s="112" t="str">
        <x:v>Cena bez DPH</x:v>
      </x:c>
      <x:c r="E7" s="113" t="n">
        <x:f>ROUND(SUM(B7:B13)/'03_Sazby_sluzeb'!$B$15,0)*'03_Sazby_sluzeb'!$B$15</x:f>
        <x:v>3100000</x:v>
      </x:c>
      <x:c r="F7" s="32"/>
      <x:c r="G7" s="87" t="str">
        <x:v>PŘEDBĚŽNÁ CENA S DPH</x:v>
      </x:c>
      <x:c r="H7" s="87" t="str">
        <x:v>PŘEDBĚŽNÁ CENA S DPH</x:v>
      </x:c>
      <x:c r="I7" s="87" t="str">
        <x:v>PŘEDBĚŽNÁ CENA S DPH</x:v>
      </x:c>
      <x:c r="J7" s="87" t="str">
        <x:v>PŘEDBĚŽNÁ CENA S DPH</x:v>
      </x:c>
      <x:c r="K7" s="87" t="str">
        <x:v>PŘEDBĚŽNÁ CENA S DPH</x:v>
      </x:c>
      <x:c r="L7" s="87" t="str">
        <x:v>PŘEDBĚŽNÁ CENA S DPH</x:v>
      </x:c>
      <x:c r="M7" s="87" t="str">
        <x:v>PŘEDBĚŽNÁ CENA S DPH</x:v>
      </x:c>
      <x:c r="N7" s="87" t="str">
        <x:v>PŘEDBĚŽNÁ CENA S DPH</x:v>
      </x:c>
    </x:row>
    <x:row r="8">
      <x:c r="A8" s="114" t="str">
        <x:v>Objemová obchodní úprava</x:v>
      </x:c>
      <x:c r="B8" s="115" t="n">
        <x:f>B7*IF(F3&lt;150,'03_Sazby_sluzeb'!$C$25,IF(F3&lt;300,'03_Sazby_sluzeb'!$C$26,'03_Sazby_sluzeb'!$C$27))</x:f>
        <x:v>0</x:v>
      </x:c>
      <x:c r="C8" s="116"/>
      <x:c r="D8" s="117" t="str">
        <x:v>DPH</x:v>
      </x:c>
      <x:c r="E8" s="118" t="n">
        <x:f>E7*'03_Sazby_sluzeb'!$B$7</x:f>
        <x:v>651000</x:v>
      </x:c>
      <x:c r="F8" s="32"/>
      <x:c r="G8" s="91" t="n">
        <x:f>E9</x:f>
        <x:v>3751000</x:v>
      </x:c>
      <x:c r="H8" s="91"/>
      <x:c r="I8" s="91"/>
      <x:c r="J8" s="91"/>
      <x:c r="K8" s="91"/>
      <x:c r="L8" s="91"/>
      <x:c r="M8" s="91"/>
      <x:c r="N8" s="91"/>
    </x:row>
    <x:row r="9">
      <x:c r="A9" s="114" t="str">
        <x:v>Montáž hrubé stavby</x:v>
      </x:c>
      <x:c r="B9" s="115" t="n">
        <x:f>(B7+B8)*'03_Sazby_sluzeb'!$B$8</x:f>
        <x:v>430950.3786</x:v>
      </x:c>
      <x:c r="C9" s="116"/>
      <x:c r="D9" s="117" t="str">
        <x:v>Cena s DPH</x:v>
      </x:c>
      <x:c r="E9" s="118" t="n">
        <x:f>E7+E8</x:f>
        <x:v>3751000</x:v>
      </x:c>
      <x:c r="F9" s="32"/>
      <x:c r="G9" s="91"/>
      <x:c r="H9" s="91"/>
      <x:c r="I9" s="91"/>
      <x:c r="J9" s="91"/>
      <x:c r="K9" s="91"/>
      <x:c r="L9" s="91"/>
      <x:c r="M9" s="91"/>
      <x:c r="N9" s="91"/>
    </x:row>
    <x:row r="10">
      <x:c r="A10" s="114" t="str">
        <x:v>Manipulace a zdvihací technika</x:v>
      </x:c>
      <x:c r="B10" s="115" t="n">
        <x:f>(B7+B8)*'03_Sazby_sluzeb'!$B$9</x:f>
        <x:v>95766.75080000001</x:v>
      </x:c>
      <x:c r="C10" s="116"/>
      <x:c r="D10" s="117" t="str"/>
      <x:c r="E10" s="119"/>
      <x:c r="F10" s="32"/>
      <x:c r="G10" s="32"/>
      <x:c r="H10" s="32"/>
      <x:c r="I10" s="32"/>
      <x:c r="J10" s="32"/>
      <x:c r="K10" s="32"/>
      <x:c r="L10" s="32"/>
      <x:c r="M10" s="32"/>
      <x:c r="N10" s="32"/>
    </x:row>
    <x:row r="11">
      <x:c r="A11" s="114" t="str">
        <x:v>Zařízení staveniště</x:v>
      </x:c>
      <x:c r="B11" s="115" t="n">
        <x:f>'03_Sazby_sluzeb'!$B$10+(B7+B8)*'03_Sazby_sluzeb'!$B$11</x:f>
        <x:v>35000</x:v>
      </x:c>
      <x:c r="C11" s="116"/>
      <x:c r="D11" s="117" t="str">
        <x:v>Cena / m² užitné plochy</x:v>
      </x:c>
      <x:c r="E11" s="120" t="n">
        <x:f>IF(F3&gt;0,E7/F3,0)</x:f>
        <x:v>31000</x:v>
      </x:c>
      <x:c r="F11" s="32"/>
      <x:c r="G11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H11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I11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J11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K11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L11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M11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N11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</x:row>
    <x:row r="12">
      <x:c r="A12" s="114" t="str">
        <x:v>Doprava</x:v>
      </x:c>
      <x:c r="B12" s="115" t="n">
        <x:f>L3*2*'03_Sazby_sluzeb'!$B$12*E13</x:f>
        <x:v>54000</x:v>
      </x:c>
      <x:c r="C12" s="116"/>
      <x:c r="D12" s="117" t="str">
        <x:v>Započitatelná plocha panelů</x:v>
      </x:c>
      <x:c r="E12" s="121" t="n">
        <x:f>SUM(K21:K70)</x:f>
        <x:v>393.49217999999996</x:v>
      </x:c>
      <x:c r="F12" s="32"/>
      <x:c r="G12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H12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I12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J12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K12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L12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M12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N12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</x:row>
    <x:row r="13">
      <x:c r="A13" s="114" t="str">
        <x:v>Rezerva za neúplnost podkladu</x:v>
      </x:c>
      <x:c r="B13" s="115" t="n">
        <x:f>SUM(B7:B12)*IFERROR(INDEX('03_Sazby_sluzeb'!$B$19:$B$21,MATCH(J3,'03_Sazby_sluzeb'!$A$19:$A$21,0)),0)</x:f>
        <x:v>90296.576982</x:v>
      </x:c>
      <x:c r="C13" s="116"/>
      <x:c r="D13" s="117" t="str">
        <x:v>Předpokládaný počet závozů</x:v>
      </x:c>
      <x:c r="E13" s="122" t="n">
        <x:f>MAX('03_Sazby_sluzeb'!$B$14,ROUND(SUM(K21:K70)/'03_Sazby_sluzeb'!$B$13+0.499999,0))</x:f>
        <x:v>6</x:v>
      </x:c>
      <x:c r="F13" s="32"/>
      <x:c r="G13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H13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I13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J13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K13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L13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M13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N13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</x:row>
    <x:row r="14">
      <x:c r="A14" s="123" t="str">
        <x:v>Zaokrouhlení nabídky</x:v>
      </x:c>
      <x:c r="B14" s="124" t="n">
        <x:f>E7-SUM(B7:B13)</x:f>
        <x:v>-182.47638199990615</x:v>
      </x:c>
      <x:c r="C14" s="125"/>
      <x:c r="D14" s="126" t="str">
        <x:v>Rezerva použita</x:v>
      </x:c>
      <x:c r="E14" s="127" t="n">
        <x:f>IFERROR(INDEX('03_Sazby_sluzeb'!$B$19:$B$21,MATCH(J3,'03_Sazby_sluzeb'!$A$19:$A$21,0)),0)</x:f>
        <x:v>0.03</x:v>
      </x:c>
      <x:c r="F14" s="32"/>
      <x:c r="G14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H14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I14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J14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K14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L14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M14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  <x:c r="N14" s="96" t="str">
        <x:v>Tato předobjednávka není finální cenovou nabídkou. Rozsah dodávky, technické řešení, vícepráce a méněpráce budou potvrzeny konstruktérem a projektovým manažerem podle konkrétního projektu, staveniště a požadavků klienta.</x:v>
      </x:c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</x:row>
    <x:row r="16">
      <x:c r="A16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B16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C16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D16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E16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F16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G16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H16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I16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J16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K16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L16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M16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N16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</x:row>
    <x:row r="17">
      <x:c r="A17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B17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C17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D17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E17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F17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G17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H17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I17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J17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K17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L17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M17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  <x:c r="N17" s="100" t="str">
        <x:v>Níže jsou technické položky vytěžené z výkresu. Pro stěny se zadává celková délka × výška, pro stropy, podlahy a střechy rozměr A × rozměr B. Standardní odpočet výplní otvorů se provede automaticky podle ceníku.</x:v>
      </x:c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</x:row>
    <x:row r="20">
      <x:c r="A20" s="21" t="str">
        <x:v>Položka</x:v>
      </x:c>
      <x:c r="B20" s="22" t="str">
        <x:v>Podlaží / část</x:v>
      </x:c>
      <x:c r="C20" s="22" t="str">
        <x:v>catalogId</x:v>
      </x:c>
      <x:c r="D20" s="22" t="str">
        <x:v>Název panelu</x:v>
      </x:c>
      <x:c r="E20" s="22" t="str">
        <x:v>Kategorie</x:v>
      </x:c>
      <x:c r="F20" s="22" t="str">
        <x:v>Počet</x:v>
      </x:c>
      <x:c r="G20" s="22" t="str">
        <x:v>Rozměr A / délka m</x:v>
      </x:c>
      <x:c r="H20" s="22" t="str">
        <x:v>Rozměr B / výška m</x:v>
      </x:c>
      <x:c r="I20" s="22" t="str">
        <x:v>Hrubá plocha m²</x:v>
      </x:c>
      <x:c r="J20" s="22" t="str">
        <x:v>Odpočet otvorů</x:v>
      </x:c>
      <x:c r="K20" s="22" t="str">
        <x:v>Započitatelná plocha m²</x:v>
      </x:c>
      <x:c r="L20" s="22" t="str">
        <x:v>Cena Kč/m²</x:v>
      </x:c>
      <x:c r="M20" s="22" t="str">
        <x:v>Cena celkem bez DPH</x:v>
      </x:c>
      <x:c r="N20" s="23" t="str">
        <x:v>Kontrola</x:v>
      </x:c>
    </x:row>
    <x:row r="21">
      <x:c r="A21" s="39" t="str">
        <x:v>P-001</x:v>
      </x:c>
      <x:c r="B21" s="39" t="str">
        <x:v>Obvod 1. NP</x:v>
      </x:c>
      <x:c r="C21" s="39" t="str">
        <x:v>OS_VF_01</x:v>
      </x:c>
      <x:c r="D21" s="128" t="str">
        <x:f>IFERROR(INDEX('02_Cenik_panelu'!$B$7:$B$16,MATCH(C21,'02_Cenik_panelu'!$A$7:$A$16,0)),"")</x:f>
        <x:v>Obvodový stěnový panel s kontaktní omítkovou fasádou</x:v>
      </x:c>
      <x:c r="E21" s="128" t="str">
        <x:f>IFERROR(INDEX('02_Cenik_panelu'!$C$7:$C$16,MATCH(C21,'02_Cenik_panelu'!$A$7:$A$16,0)),"")</x:f>
        <x:v>Obvodová stěna</x:v>
      </x:c>
      <x:c r="F21" s="129" t="n">
        <x:v>1</x:v>
      </x:c>
      <x:c r="G21" s="129" t="n">
        <x:v>49.12</x:v>
      </x:c>
      <x:c r="H21" s="129" t="n">
        <x:v>2.8</x:v>
      </x:c>
      <x:c r="I21" s="130" t="n">
        <x:f>IF(C21="","",F21*G21*H21)</x:f>
        <x:v>137.53599999999997</x:v>
      </x:c>
      <x:c r="J21" s="131" t="n">
        <x:f>IFERROR(INDEX('02_Cenik_panelu'!$K$7:$K$16,MATCH(C21,'02_Cenik_panelu'!$A$7:$A$16,0)),0)</x:f>
        <x:v>0.15</x:v>
      </x:c>
      <x:c r="K21" s="132" t="n">
        <x:f>IF(C21="","",I21*(1-J21))</x:f>
        <x:v>116.90559999999998</x:v>
      </x:c>
      <x:c r="L21" s="133" t="n">
        <x:f>IFERROR(INDEX('02_Cenik_panelu'!$J$7:$J$16,MATCH(C21,'02_Cenik_panelu'!$A$7:$A$16,0)),0)</x:f>
        <x:v>8500</x:v>
      </x:c>
      <x:c r="M21" s="134" t="n">
        <x:f>IF(C21="","",K21*L21)</x:f>
        <x:v>993697.5999999999</x:v>
      </x:c>
      <x:c r="N21" s="32" t="str">
        <x:f>IF(C21="","",IF(L21&lt;=0,"CHYBA: CHYBÍ CENA",IF(I21&lt;=0,"CHYBA: CHYBÍ PLOCHA","OK")))</x:f>
        <x:v>OK</x:v>
      </x:c>
    </x:row>
    <x:row r="22">
      <x:c r="A22" s="39" t="str">
        <x:v>P-002</x:v>
      </x:c>
      <x:c r="B22" s="39" t="str">
        <x:v>Nosné stěny 1. NP</x:v>
      </x:c>
      <x:c r="C22" s="39" t="str">
        <x:v>NS_VF_01</x:v>
      </x:c>
      <x:c r="D22" s="128" t="str">
        <x:f>IFERROR(INDEX('02_Cenik_panelu'!$B$7:$B$16,MATCH(C22,'02_Cenik_panelu'!$A$7:$A$16,0)),"")</x:f>
        <x:v>Vnitřní nosný stěnový panel</x:v>
      </x:c>
      <x:c r="E22" s="128" t="str">
        <x:f>IFERROR(INDEX('02_Cenik_panelu'!$C$7:$C$16,MATCH(C22,'02_Cenik_panelu'!$A$7:$A$16,0)),"")</x:f>
        <x:v>Vnitřní stěna</x:v>
      </x:c>
      <x:c r="F22" s="129" t="n">
        <x:v>1</x:v>
      </x:c>
      <x:c r="G22" s="129" t="n">
        <x:v>11.2</x:v>
      </x:c>
      <x:c r="H22" s="129" t="n">
        <x:v>2.8</x:v>
      </x:c>
      <x:c r="I22" s="130" t="n">
        <x:f>IF(C22="","",F22*G22*H22)</x:f>
        <x:v>31.359999999999996</x:v>
      </x:c>
      <x:c r="J22" s="131" t="n">
        <x:f>IFERROR(INDEX('02_Cenik_panelu'!$K$7:$K$16,MATCH(C22,'02_Cenik_panelu'!$A$7:$A$16,0)),0)</x:f>
        <x:v>0.1</x:v>
      </x:c>
      <x:c r="K22" s="132" t="n">
        <x:f>IF(C22="","",I22*(1-J22))</x:f>
        <x:v>28.223999999999997</x:v>
      </x:c>
      <x:c r="L22" s="133" t="n">
        <x:f>IFERROR(INDEX('02_Cenik_panelu'!$J$7:$J$16,MATCH(C22,'02_Cenik_panelu'!$A$7:$A$16,0)),0)</x:f>
        <x:v>3500</x:v>
      </x:c>
      <x:c r="M22" s="134" t="n">
        <x:f>IF(C22="","",K22*L22)</x:f>
        <x:v>98783.99999999999</x:v>
      </x:c>
      <x:c r="N22" s="32" t="str">
        <x:f>IF(C22="","",IF(L22&lt;=0,"CHYBA: CHYBÍ CENA",IF(I22&lt;=0,"CHYBA: CHYBÍ PLOCHA","OK")))</x:f>
        <x:v>OK</x:v>
      </x:c>
    </x:row>
    <x:row r="23">
      <x:c r="A23" s="39" t="str">
        <x:v>P-003</x:v>
      </x:c>
      <x:c r="B23" s="39" t="str">
        <x:v>Dělící stěny 1. NP</x:v>
      </x:c>
      <x:c r="C23" s="39" t="str">
        <x:v>DS_VF_01</x:v>
      </x:c>
      <x:c r="D23" s="128" t="str">
        <x:f>IFERROR(INDEX('02_Cenik_panelu'!$B$7:$B$16,MATCH(C23,'02_Cenik_panelu'!$A$7:$A$16,0)),"")</x:f>
        <x:v>Akustický mezibytový dělící panel</x:v>
      </x:c>
      <x:c r="E23" s="128" t="str">
        <x:f>IFERROR(INDEX('02_Cenik_panelu'!$C$7:$C$16,MATCH(C23,'02_Cenik_panelu'!$A$7:$A$16,0)),"")</x:f>
        <x:v>Vnitřní stěna</x:v>
      </x:c>
      <x:c r="F23" s="129" t="n">
        <x:v>1</x:v>
      </x:c>
      <x:c r="G23" s="129" t="n">
        <x:v>10.98</x:v>
      </x:c>
      <x:c r="H23" s="129" t="n">
        <x:v>2.8</x:v>
      </x:c>
      <x:c r="I23" s="130" t="n">
        <x:f>IF(C23="","",F23*G23*H23)</x:f>
        <x:v>30.744</x:v>
      </x:c>
      <x:c r="J23" s="131" t="n">
        <x:f>IFERROR(INDEX('02_Cenik_panelu'!$K$7:$K$16,MATCH(C23,'02_Cenik_panelu'!$A$7:$A$16,0)),0)</x:f>
        <x:v>0.1</x:v>
      </x:c>
      <x:c r="K23" s="132" t="n">
        <x:f>IF(C23="","",I23*(1-J23))</x:f>
        <x:v>27.6696</x:v>
      </x:c>
      <x:c r="L23" s="133" t="n">
        <x:f>IFERROR(INDEX('02_Cenik_panelu'!$J$7:$J$16,MATCH(C23,'02_Cenik_panelu'!$A$7:$A$16,0)),0)</x:f>
        <x:v>5500</x:v>
      </x:c>
      <x:c r="M23" s="134" t="n">
        <x:f>IF(C23="","",K23*L23)</x:f>
        <x:v>152182.8</x:v>
      </x:c>
      <x:c r="N23" s="32" t="str">
        <x:f>IF(C23="","",IF(L23&lt;=0,"CHYBA: CHYBÍ CENA",IF(I23&lt;=0,"CHYBA: CHYBÍ PLOCHA","OK")))</x:f>
        <x:v>OK</x:v>
      </x:c>
    </x:row>
    <x:row r="24">
      <x:c r="A24" s="39" t="str">
        <x:v>P-004</x:v>
      </x:c>
      <x:c r="B24" s="39" t="str">
        <x:v>Podlaha 1. NP</x:v>
      </x:c>
      <x:c r="C24" s="39" t="str">
        <x:v>PODLAHA_1NP</x:v>
      </x:c>
      <x:c r="D24" s="128" t="str">
        <x:f>IFERROR(INDEX('02_Cenik_panelu'!$B$7:$B$16,MATCH(C24,'02_Cenik_panelu'!$A$7:$A$16,0)),"")</x:f>
        <x:v>Podlahový panel 1. NP s podlahovým vytápěním</x:v>
      </x:c>
      <x:c r="E24" s="128" t="str">
        <x:f>IFERROR(INDEX('02_Cenik_panelu'!$C$7:$C$16,MATCH(C24,'02_Cenik_panelu'!$A$7:$A$16,0)),"")</x:f>
        <x:v>Strop / podlaha</x:v>
      </x:c>
      <x:c r="F24" s="129" t="n">
        <x:v>1</x:v>
      </x:c>
      <x:c r="G24" s="129" t="n">
        <x:v>10</x:v>
      </x:c>
      <x:c r="H24" s="129" t="n">
        <x:v>10</x:v>
      </x:c>
      <x:c r="I24" s="130" t="n">
        <x:f>IF(C24="","",F24*G24*H24)</x:f>
        <x:v>100</x:v>
      </x:c>
      <x:c r="J24" s="131" t="n">
        <x:f>IFERROR(INDEX('02_Cenik_panelu'!$K$7:$K$16,MATCH(C24,'02_Cenik_panelu'!$A$7:$A$16,0)),0)</x:f>
        <x:v>0.05</x:v>
      </x:c>
      <x:c r="K24" s="132" t="n">
        <x:f>IF(C24="","",I24*(1-J24))</x:f>
        <x:v>95</x:v>
      </x:c>
      <x:c r="L24" s="133" t="n">
        <x:f>IFERROR(INDEX('02_Cenik_panelu'!$J$7:$J$16,MATCH(C24,'02_Cenik_panelu'!$A$7:$A$16,0)),0)</x:f>
        <x:v>3500</x:v>
      </x:c>
      <x:c r="M24" s="134" t="n">
        <x:f>IF(C24="","",K24*L24)</x:f>
        <x:v>332500</x:v>
      </x:c>
      <x:c r="N24" s="32" t="str">
        <x:f>IF(C24="","",IF(L24&lt;=0,"CHYBA: CHYBÍ CENA",IF(I24&lt;=0,"CHYBA: CHYBÍ PLOCHA","OK")))</x:f>
        <x:v>OK</x:v>
      </x:c>
    </x:row>
    <x:row r="25">
      <x:c r="A25" s="39" t="str">
        <x:v>P-005</x:v>
      </x:c>
      <x:c r="B25" s="39" t="str">
        <x:v>Šikmá střecha</x:v>
      </x:c>
      <x:c r="C25" s="39" t="str">
        <x:v>STRECHA_SIKMA</x:v>
      </x:c>
      <x:c r="D25" s="128" t="str">
        <x:f>IFERROR(INDEX('02_Cenik_panelu'!$B$7:$B$16,MATCH(C25,'02_Cenik_panelu'!$A$7:$A$16,0)),"")</x:f>
        <x:v>Panel šikmé střechy s falcovanou krytinou</x:v>
      </x:c>
      <x:c r="E25" s="128" t="str">
        <x:f>IFERROR(INDEX('02_Cenik_panelu'!$C$7:$C$16,MATCH(C25,'02_Cenik_panelu'!$A$7:$A$16,0)),"")</x:f>
        <x:v>Střecha</x:v>
      </x:c>
      <x:c r="F25" s="129" t="n">
        <x:v>1</x:v>
      </x:c>
      <x:c r="G25" s="129" t="n">
        <x:v>16.58</x:v>
      </x:c>
      <x:c r="H25" s="129" t="n">
        <x:v>7.98</x:v>
      </x:c>
      <x:c r="I25" s="130" t="n">
        <x:f>IF(C25="","",F25*G25*H25)</x:f>
        <x:v>132.3084</x:v>
      </x:c>
      <x:c r="J25" s="131" t="n">
        <x:f>IFERROR(INDEX('02_Cenik_panelu'!$K$7:$K$16,MATCH(C25,'02_Cenik_panelu'!$A$7:$A$16,0)),0)</x:f>
        <x:v>0.05</x:v>
      </x:c>
      <x:c r="K25" s="132" t="n">
        <x:f>IF(C25="","",I25*(1-J25))</x:f>
        <x:v>125.69298</x:v>
      </x:c>
      <x:c r="L25" s="133" t="n">
        <x:f>IFERROR(INDEX('02_Cenik_panelu'!$J$7:$J$16,MATCH(C25,'02_Cenik_panelu'!$A$7:$A$16,0)),0)</x:f>
        <x:v>6500</x:v>
      </x:c>
      <x:c r="M25" s="134" t="n">
        <x:f>IF(C25="","",K25*L25)</x:f>
        <x:v>817004.37</x:v>
      </x:c>
      <x:c r="N25" s="32" t="str">
        <x:f>IF(C25="","",IF(L25&lt;=0,"CHYBA: CHYBÍ CENA",IF(I25&lt;=0,"CHYBA: CHYBÍ PLOCHA","OK")))</x:f>
        <x:v>OK</x:v>
      </x:c>
    </x:row>
    <x:row r="26">
      <x:c r="A26" s="39"/>
      <x:c r="B26" s="39"/>
      <x:c r="C26" s="39"/>
      <x:c r="D26" s="128" t="str">
        <x:f>IFERROR(INDEX('02_Cenik_panelu'!$B$7:$B$16,MATCH(C26,'02_Cenik_panelu'!$A$7:$A$16,0)),"")</x:f>
      </x:c>
      <x:c r="E26" s="128" t="str">
        <x:f>IFERROR(INDEX('02_Cenik_panelu'!$C$7:$C$16,MATCH(C26,'02_Cenik_panelu'!$A$7:$A$16,0)),"")</x:f>
      </x:c>
      <x:c r="F26" s="129"/>
      <x:c r="G26" s="129"/>
      <x:c r="H26" s="129"/>
      <x:c r="I26" s="130" t="str">
        <x:f>IF(C26="","",F26*G26*H26)</x:f>
      </x:c>
      <x:c r="J26" s="131" t="n">
        <x:f>IFERROR(INDEX('02_Cenik_panelu'!$K$7:$K$16,MATCH(C26,'02_Cenik_panelu'!$A$7:$A$16,0)),0)</x:f>
        <x:v>0</x:v>
      </x:c>
      <x:c r="K26" s="132" t="str">
        <x:f>IF(C26="","",I26*(1-J26))</x:f>
      </x:c>
      <x:c r="L26" s="133" t="n">
        <x:f>IFERROR(INDEX('02_Cenik_panelu'!$J$7:$J$16,MATCH(C26,'02_Cenik_panelu'!$A$7:$A$16,0)),0)</x:f>
        <x:v>0</x:v>
      </x:c>
      <x:c r="M26" s="134" t="str">
        <x:f>IF(C26="","",K26*L26)</x:f>
      </x:c>
      <x:c r="N26" s="32" t="str">
        <x:f>IF(C26="","",IF(L26&lt;=0,"CHYBA: CHYBÍ CENA",IF(I26&lt;=0,"CHYBA: CHYBÍ PLOCHA","OK")))</x:f>
      </x:c>
    </x:row>
    <x:row r="27">
      <x:c r="A27" s="39"/>
      <x:c r="B27" s="39"/>
      <x:c r="C27" s="39"/>
      <x:c r="D27" s="128" t="str">
        <x:f>IFERROR(INDEX('02_Cenik_panelu'!$B$7:$B$16,MATCH(C27,'02_Cenik_panelu'!$A$7:$A$16,0)),"")</x:f>
      </x:c>
      <x:c r="E27" s="128" t="str">
        <x:f>IFERROR(INDEX('02_Cenik_panelu'!$C$7:$C$16,MATCH(C27,'02_Cenik_panelu'!$A$7:$A$16,0)),"")</x:f>
      </x:c>
      <x:c r="F27" s="129"/>
      <x:c r="G27" s="129"/>
      <x:c r="H27" s="129"/>
      <x:c r="I27" s="130" t="str">
        <x:f>IF(C27="","",F27*G27*H27)</x:f>
      </x:c>
      <x:c r="J27" s="131" t="n">
        <x:f>IFERROR(INDEX('02_Cenik_panelu'!$K$7:$K$16,MATCH(C27,'02_Cenik_panelu'!$A$7:$A$16,0)),0)</x:f>
        <x:v>0</x:v>
      </x:c>
      <x:c r="K27" s="132" t="str">
        <x:f>IF(C27="","",I27*(1-J27))</x:f>
      </x:c>
      <x:c r="L27" s="133" t="n">
        <x:f>IFERROR(INDEX('02_Cenik_panelu'!$J$7:$J$16,MATCH(C27,'02_Cenik_panelu'!$A$7:$A$16,0)),0)</x:f>
        <x:v>0</x:v>
      </x:c>
      <x:c r="M27" s="134" t="str">
        <x:f>IF(C27="","",K27*L27)</x:f>
      </x:c>
      <x:c r="N27" s="32" t="str">
        <x:f>IF(C27="","",IF(L27&lt;=0,"CHYBA: CHYBÍ CENA",IF(I27&lt;=0,"CHYBA: CHYBÍ PLOCHA","OK")))</x:f>
      </x:c>
    </x:row>
    <x:row r="28">
      <x:c r="A28" s="39"/>
      <x:c r="B28" s="39"/>
      <x:c r="C28" s="39"/>
      <x:c r="D28" s="128" t="str">
        <x:f>IFERROR(INDEX('02_Cenik_panelu'!$B$7:$B$16,MATCH(C28,'02_Cenik_panelu'!$A$7:$A$16,0)),"")</x:f>
      </x:c>
      <x:c r="E28" s="128" t="str">
        <x:f>IFERROR(INDEX('02_Cenik_panelu'!$C$7:$C$16,MATCH(C28,'02_Cenik_panelu'!$A$7:$A$16,0)),"")</x:f>
      </x:c>
      <x:c r="F28" s="129"/>
      <x:c r="G28" s="129"/>
      <x:c r="H28" s="129"/>
      <x:c r="I28" s="130" t="str">
        <x:f>IF(C28="","",F28*G28*H28)</x:f>
      </x:c>
      <x:c r="J28" s="131" t="n">
        <x:f>IFERROR(INDEX('02_Cenik_panelu'!$K$7:$K$16,MATCH(C28,'02_Cenik_panelu'!$A$7:$A$16,0)),0)</x:f>
        <x:v>0</x:v>
      </x:c>
      <x:c r="K28" s="132" t="str">
        <x:f>IF(C28="","",I28*(1-J28))</x:f>
      </x:c>
      <x:c r="L28" s="133" t="n">
        <x:f>IFERROR(INDEX('02_Cenik_panelu'!$J$7:$J$16,MATCH(C28,'02_Cenik_panelu'!$A$7:$A$16,0)),0)</x:f>
        <x:v>0</x:v>
      </x:c>
      <x:c r="M28" s="134" t="str">
        <x:f>IF(C28="","",K28*L28)</x:f>
      </x:c>
      <x:c r="N28" s="32" t="str">
        <x:f>IF(C28="","",IF(L28&lt;=0,"CHYBA: CHYBÍ CENA",IF(I28&lt;=0,"CHYBA: CHYBÍ PLOCHA","OK")))</x:f>
      </x:c>
    </x:row>
    <x:row r="29">
      <x:c r="A29" s="39"/>
      <x:c r="B29" s="39"/>
      <x:c r="C29" s="39"/>
      <x:c r="D29" s="128" t="str">
        <x:f>IFERROR(INDEX('02_Cenik_panelu'!$B$7:$B$16,MATCH(C29,'02_Cenik_panelu'!$A$7:$A$16,0)),"")</x:f>
      </x:c>
      <x:c r="E29" s="128" t="str">
        <x:f>IFERROR(INDEX('02_Cenik_panelu'!$C$7:$C$16,MATCH(C29,'02_Cenik_panelu'!$A$7:$A$16,0)),"")</x:f>
      </x:c>
      <x:c r="F29" s="129"/>
      <x:c r="G29" s="129"/>
      <x:c r="H29" s="129"/>
      <x:c r="I29" s="130" t="str">
        <x:f>IF(C29="","",F29*G29*H29)</x:f>
      </x:c>
      <x:c r="J29" s="131" t="n">
        <x:f>IFERROR(INDEX('02_Cenik_panelu'!$K$7:$K$16,MATCH(C29,'02_Cenik_panelu'!$A$7:$A$16,0)),0)</x:f>
        <x:v>0</x:v>
      </x:c>
      <x:c r="K29" s="132" t="str">
        <x:f>IF(C29="","",I29*(1-J29))</x:f>
      </x:c>
      <x:c r="L29" s="133" t="n">
        <x:f>IFERROR(INDEX('02_Cenik_panelu'!$J$7:$J$16,MATCH(C29,'02_Cenik_panelu'!$A$7:$A$16,0)),0)</x:f>
        <x:v>0</x:v>
      </x:c>
      <x:c r="M29" s="134" t="str">
        <x:f>IF(C29="","",K29*L29)</x:f>
      </x:c>
      <x:c r="N29" s="32" t="str">
        <x:f>IF(C29="","",IF(L29&lt;=0,"CHYBA: CHYBÍ CENA",IF(I29&lt;=0,"CHYBA: CHYBÍ PLOCHA","OK")))</x:f>
      </x:c>
    </x:row>
    <x:row r="30">
      <x:c r="A30" s="39"/>
      <x:c r="B30" s="39"/>
      <x:c r="C30" s="39"/>
      <x:c r="D30" s="128" t="str">
        <x:f>IFERROR(INDEX('02_Cenik_panelu'!$B$7:$B$16,MATCH(C30,'02_Cenik_panelu'!$A$7:$A$16,0)),"")</x:f>
      </x:c>
      <x:c r="E30" s="128" t="str">
        <x:f>IFERROR(INDEX('02_Cenik_panelu'!$C$7:$C$16,MATCH(C30,'02_Cenik_panelu'!$A$7:$A$16,0)),"")</x:f>
      </x:c>
      <x:c r="F30" s="129"/>
      <x:c r="G30" s="129"/>
      <x:c r="H30" s="129"/>
      <x:c r="I30" s="130" t="str">
        <x:f>IF(C30="","",F30*G30*H30)</x:f>
      </x:c>
      <x:c r="J30" s="131" t="n">
        <x:f>IFERROR(INDEX('02_Cenik_panelu'!$K$7:$K$16,MATCH(C30,'02_Cenik_panelu'!$A$7:$A$16,0)),0)</x:f>
        <x:v>0</x:v>
      </x:c>
      <x:c r="K30" s="132" t="str">
        <x:f>IF(C30="","",I30*(1-J30))</x:f>
      </x:c>
      <x:c r="L30" s="133" t="n">
        <x:f>IFERROR(INDEX('02_Cenik_panelu'!$J$7:$J$16,MATCH(C30,'02_Cenik_panelu'!$A$7:$A$16,0)),0)</x:f>
        <x:v>0</x:v>
      </x:c>
      <x:c r="M30" s="134" t="str">
        <x:f>IF(C30="","",K30*L30)</x:f>
      </x:c>
      <x:c r="N30" s="32" t="str">
        <x:f>IF(C30="","",IF(L30&lt;=0,"CHYBA: CHYBÍ CENA",IF(I30&lt;=0,"CHYBA: CHYBÍ PLOCHA","OK")))</x:f>
      </x:c>
    </x:row>
    <x:row r="31">
      <x:c r="A31" s="39"/>
      <x:c r="B31" s="39"/>
      <x:c r="C31" s="39"/>
      <x:c r="D31" s="128" t="str">
        <x:f>IFERROR(INDEX('02_Cenik_panelu'!$B$7:$B$16,MATCH(C31,'02_Cenik_panelu'!$A$7:$A$16,0)),"")</x:f>
      </x:c>
      <x:c r="E31" s="128" t="str">
        <x:f>IFERROR(INDEX('02_Cenik_panelu'!$C$7:$C$16,MATCH(C31,'02_Cenik_panelu'!$A$7:$A$16,0)),"")</x:f>
      </x:c>
      <x:c r="F31" s="129"/>
      <x:c r="G31" s="129"/>
      <x:c r="H31" s="129"/>
      <x:c r="I31" s="130" t="str">
        <x:f>IF(C31="","",F31*G31*H31)</x:f>
      </x:c>
      <x:c r="J31" s="131" t="n">
        <x:f>IFERROR(INDEX('02_Cenik_panelu'!$K$7:$K$16,MATCH(C31,'02_Cenik_panelu'!$A$7:$A$16,0)),0)</x:f>
        <x:v>0</x:v>
      </x:c>
      <x:c r="K31" s="132" t="str">
        <x:f>IF(C31="","",I31*(1-J31))</x:f>
      </x:c>
      <x:c r="L31" s="133" t="n">
        <x:f>IFERROR(INDEX('02_Cenik_panelu'!$J$7:$J$16,MATCH(C31,'02_Cenik_panelu'!$A$7:$A$16,0)),0)</x:f>
        <x:v>0</x:v>
      </x:c>
      <x:c r="M31" s="134" t="str">
        <x:f>IF(C31="","",K31*L31)</x:f>
      </x:c>
      <x:c r="N31" s="32" t="str">
        <x:f>IF(C31="","",IF(L31&lt;=0,"CHYBA: CHYBÍ CENA",IF(I31&lt;=0,"CHYBA: CHYBÍ PLOCHA","OK")))</x:f>
      </x:c>
    </x:row>
    <x:row r="32">
      <x:c r="A32" s="39"/>
      <x:c r="B32" s="39"/>
      <x:c r="C32" s="39"/>
      <x:c r="D32" s="128" t="str">
        <x:f>IFERROR(INDEX('02_Cenik_panelu'!$B$7:$B$16,MATCH(C32,'02_Cenik_panelu'!$A$7:$A$16,0)),"")</x:f>
      </x:c>
      <x:c r="E32" s="128" t="str">
        <x:f>IFERROR(INDEX('02_Cenik_panelu'!$C$7:$C$16,MATCH(C32,'02_Cenik_panelu'!$A$7:$A$16,0)),"")</x:f>
      </x:c>
      <x:c r="F32" s="129"/>
      <x:c r="G32" s="129"/>
      <x:c r="H32" s="129"/>
      <x:c r="I32" s="130" t="str">
        <x:f>IF(C32="","",F32*G32*H32)</x:f>
      </x:c>
      <x:c r="J32" s="131" t="n">
        <x:f>IFERROR(INDEX('02_Cenik_panelu'!$K$7:$K$16,MATCH(C32,'02_Cenik_panelu'!$A$7:$A$16,0)),0)</x:f>
        <x:v>0</x:v>
      </x:c>
      <x:c r="K32" s="132" t="str">
        <x:f>IF(C32="","",I32*(1-J32))</x:f>
      </x:c>
      <x:c r="L32" s="133" t="n">
        <x:f>IFERROR(INDEX('02_Cenik_panelu'!$J$7:$J$16,MATCH(C32,'02_Cenik_panelu'!$A$7:$A$16,0)),0)</x:f>
        <x:v>0</x:v>
      </x:c>
      <x:c r="M32" s="134" t="str">
        <x:f>IF(C32="","",K32*L32)</x:f>
      </x:c>
      <x:c r="N32" s="32" t="str">
        <x:f>IF(C32="","",IF(L32&lt;=0,"CHYBA: CHYBÍ CENA",IF(I32&lt;=0,"CHYBA: CHYBÍ PLOCHA","OK")))</x:f>
      </x:c>
    </x:row>
    <x:row r="33">
      <x:c r="A33" s="39"/>
      <x:c r="B33" s="39"/>
      <x:c r="C33" s="39"/>
      <x:c r="D33" s="128" t="str">
        <x:f>IFERROR(INDEX('02_Cenik_panelu'!$B$7:$B$16,MATCH(C33,'02_Cenik_panelu'!$A$7:$A$16,0)),"")</x:f>
      </x:c>
      <x:c r="E33" s="128" t="str">
        <x:f>IFERROR(INDEX('02_Cenik_panelu'!$C$7:$C$16,MATCH(C33,'02_Cenik_panelu'!$A$7:$A$16,0)),"")</x:f>
      </x:c>
      <x:c r="F33" s="129"/>
      <x:c r="G33" s="129"/>
      <x:c r="H33" s="129"/>
      <x:c r="I33" s="130" t="str">
        <x:f>IF(C33="","",F33*G33*H33)</x:f>
      </x:c>
      <x:c r="J33" s="131" t="n">
        <x:f>IFERROR(INDEX('02_Cenik_panelu'!$K$7:$K$16,MATCH(C33,'02_Cenik_panelu'!$A$7:$A$16,0)),0)</x:f>
        <x:v>0</x:v>
      </x:c>
      <x:c r="K33" s="132" t="str">
        <x:f>IF(C33="","",I33*(1-J33))</x:f>
      </x:c>
      <x:c r="L33" s="133" t="n">
        <x:f>IFERROR(INDEX('02_Cenik_panelu'!$J$7:$J$16,MATCH(C33,'02_Cenik_panelu'!$A$7:$A$16,0)),0)</x:f>
        <x:v>0</x:v>
      </x:c>
      <x:c r="M33" s="134" t="str">
        <x:f>IF(C33="","",K33*L33)</x:f>
      </x:c>
      <x:c r="N33" s="32" t="str">
        <x:f>IF(C33="","",IF(L33&lt;=0,"CHYBA: CHYBÍ CENA",IF(I33&lt;=0,"CHYBA: CHYBÍ PLOCHA","OK")))</x:f>
      </x:c>
    </x:row>
    <x:row r="34">
      <x:c r="A34" s="39"/>
      <x:c r="B34" s="39"/>
      <x:c r="C34" s="39"/>
      <x:c r="D34" s="128" t="str">
        <x:f>IFERROR(INDEX('02_Cenik_panelu'!$B$7:$B$16,MATCH(C34,'02_Cenik_panelu'!$A$7:$A$16,0)),"")</x:f>
      </x:c>
      <x:c r="E34" s="128" t="str">
        <x:f>IFERROR(INDEX('02_Cenik_panelu'!$C$7:$C$16,MATCH(C34,'02_Cenik_panelu'!$A$7:$A$16,0)),"")</x:f>
      </x:c>
      <x:c r="F34" s="129"/>
      <x:c r="G34" s="129"/>
      <x:c r="H34" s="129"/>
      <x:c r="I34" s="130" t="str">
        <x:f>IF(C34="","",F34*G34*H34)</x:f>
      </x:c>
      <x:c r="J34" s="131" t="n">
        <x:f>IFERROR(INDEX('02_Cenik_panelu'!$K$7:$K$16,MATCH(C34,'02_Cenik_panelu'!$A$7:$A$16,0)),0)</x:f>
        <x:v>0</x:v>
      </x:c>
      <x:c r="K34" s="132" t="str">
        <x:f>IF(C34="","",I34*(1-J34))</x:f>
      </x:c>
      <x:c r="L34" s="133" t="n">
        <x:f>IFERROR(INDEX('02_Cenik_panelu'!$J$7:$J$16,MATCH(C34,'02_Cenik_panelu'!$A$7:$A$16,0)),0)</x:f>
        <x:v>0</x:v>
      </x:c>
      <x:c r="M34" s="134" t="str">
        <x:f>IF(C34="","",K34*L34)</x:f>
      </x:c>
      <x:c r="N34" s="32" t="str">
        <x:f>IF(C34="","",IF(L34&lt;=0,"CHYBA: CHYBÍ CENA",IF(I34&lt;=0,"CHYBA: CHYBÍ PLOCHA","OK")))</x:f>
      </x:c>
    </x:row>
    <x:row r="35">
      <x:c r="A35" s="39"/>
      <x:c r="B35" s="39"/>
      <x:c r="C35" s="39"/>
      <x:c r="D35" s="128" t="str">
        <x:f>IFERROR(INDEX('02_Cenik_panelu'!$B$7:$B$16,MATCH(C35,'02_Cenik_panelu'!$A$7:$A$16,0)),"")</x:f>
      </x:c>
      <x:c r="E35" s="128" t="str">
        <x:f>IFERROR(INDEX('02_Cenik_panelu'!$C$7:$C$16,MATCH(C35,'02_Cenik_panelu'!$A$7:$A$16,0)),"")</x:f>
      </x:c>
      <x:c r="F35" s="129"/>
      <x:c r="G35" s="129"/>
      <x:c r="H35" s="129"/>
      <x:c r="I35" s="130" t="str">
        <x:f>IF(C35="","",F35*G35*H35)</x:f>
      </x:c>
      <x:c r="J35" s="131" t="n">
        <x:f>IFERROR(INDEX('02_Cenik_panelu'!$K$7:$K$16,MATCH(C35,'02_Cenik_panelu'!$A$7:$A$16,0)),0)</x:f>
        <x:v>0</x:v>
      </x:c>
      <x:c r="K35" s="132" t="str">
        <x:f>IF(C35="","",I35*(1-J35))</x:f>
      </x:c>
      <x:c r="L35" s="133" t="n">
        <x:f>IFERROR(INDEX('02_Cenik_panelu'!$J$7:$J$16,MATCH(C35,'02_Cenik_panelu'!$A$7:$A$16,0)),0)</x:f>
        <x:v>0</x:v>
      </x:c>
      <x:c r="M35" s="134" t="str">
        <x:f>IF(C35="","",K35*L35)</x:f>
      </x:c>
      <x:c r="N35" s="32" t="str">
        <x:f>IF(C35="","",IF(L35&lt;=0,"CHYBA: CHYBÍ CENA",IF(I35&lt;=0,"CHYBA: CHYBÍ PLOCHA","OK")))</x:f>
      </x:c>
    </x:row>
    <x:row r="36">
      <x:c r="A36" s="39"/>
      <x:c r="B36" s="39"/>
      <x:c r="C36" s="39"/>
      <x:c r="D36" s="128" t="str">
        <x:f>IFERROR(INDEX('02_Cenik_panelu'!$B$7:$B$16,MATCH(C36,'02_Cenik_panelu'!$A$7:$A$16,0)),"")</x:f>
      </x:c>
      <x:c r="E36" s="128" t="str">
        <x:f>IFERROR(INDEX('02_Cenik_panelu'!$C$7:$C$16,MATCH(C36,'02_Cenik_panelu'!$A$7:$A$16,0)),"")</x:f>
      </x:c>
      <x:c r="F36" s="129"/>
      <x:c r="G36" s="129"/>
      <x:c r="H36" s="129"/>
      <x:c r="I36" s="130" t="str">
        <x:f>IF(C36="","",F36*G36*H36)</x:f>
      </x:c>
      <x:c r="J36" s="131" t="n">
        <x:f>IFERROR(INDEX('02_Cenik_panelu'!$K$7:$K$16,MATCH(C36,'02_Cenik_panelu'!$A$7:$A$16,0)),0)</x:f>
        <x:v>0</x:v>
      </x:c>
      <x:c r="K36" s="132" t="str">
        <x:f>IF(C36="","",I36*(1-J36))</x:f>
      </x:c>
      <x:c r="L36" s="133" t="n">
        <x:f>IFERROR(INDEX('02_Cenik_panelu'!$J$7:$J$16,MATCH(C36,'02_Cenik_panelu'!$A$7:$A$16,0)),0)</x:f>
        <x:v>0</x:v>
      </x:c>
      <x:c r="M36" s="134" t="str">
        <x:f>IF(C36="","",K36*L36)</x:f>
      </x:c>
      <x:c r="N36" s="32" t="str">
        <x:f>IF(C36="","",IF(L36&lt;=0,"CHYBA: CHYBÍ CENA",IF(I36&lt;=0,"CHYBA: CHYBÍ PLOCHA","OK")))</x:f>
      </x:c>
    </x:row>
    <x:row r="37">
      <x:c r="A37" s="39"/>
      <x:c r="B37" s="39"/>
      <x:c r="C37" s="39"/>
      <x:c r="D37" s="128" t="str">
        <x:f>IFERROR(INDEX('02_Cenik_panelu'!$B$7:$B$16,MATCH(C37,'02_Cenik_panelu'!$A$7:$A$16,0)),"")</x:f>
      </x:c>
      <x:c r="E37" s="128" t="str">
        <x:f>IFERROR(INDEX('02_Cenik_panelu'!$C$7:$C$16,MATCH(C37,'02_Cenik_panelu'!$A$7:$A$16,0)),"")</x:f>
      </x:c>
      <x:c r="F37" s="129"/>
      <x:c r="G37" s="129"/>
      <x:c r="H37" s="129"/>
      <x:c r="I37" s="130" t="str">
        <x:f>IF(C37="","",F37*G37*H37)</x:f>
      </x:c>
      <x:c r="J37" s="131" t="n">
        <x:f>IFERROR(INDEX('02_Cenik_panelu'!$K$7:$K$16,MATCH(C37,'02_Cenik_panelu'!$A$7:$A$16,0)),0)</x:f>
        <x:v>0</x:v>
      </x:c>
      <x:c r="K37" s="132" t="str">
        <x:f>IF(C37="","",I37*(1-J37))</x:f>
      </x:c>
      <x:c r="L37" s="133" t="n">
        <x:f>IFERROR(INDEX('02_Cenik_panelu'!$J$7:$J$16,MATCH(C37,'02_Cenik_panelu'!$A$7:$A$16,0)),0)</x:f>
        <x:v>0</x:v>
      </x:c>
      <x:c r="M37" s="134" t="str">
        <x:f>IF(C37="","",K37*L37)</x:f>
      </x:c>
      <x:c r="N37" s="32" t="str">
        <x:f>IF(C37="","",IF(L37&lt;=0,"CHYBA: CHYBÍ CENA",IF(I37&lt;=0,"CHYBA: CHYBÍ PLOCHA","OK")))</x:f>
      </x:c>
    </x:row>
    <x:row r="38">
      <x:c r="A38" s="39"/>
      <x:c r="B38" s="39"/>
      <x:c r="C38" s="39"/>
      <x:c r="D38" s="128" t="str">
        <x:f>IFERROR(INDEX('02_Cenik_panelu'!$B$7:$B$16,MATCH(C38,'02_Cenik_panelu'!$A$7:$A$16,0)),"")</x:f>
      </x:c>
      <x:c r="E38" s="128" t="str">
        <x:f>IFERROR(INDEX('02_Cenik_panelu'!$C$7:$C$16,MATCH(C38,'02_Cenik_panelu'!$A$7:$A$16,0)),"")</x:f>
      </x:c>
      <x:c r="F38" s="129"/>
      <x:c r="G38" s="129"/>
      <x:c r="H38" s="129"/>
      <x:c r="I38" s="130" t="str">
        <x:f>IF(C38="","",F38*G38*H38)</x:f>
      </x:c>
      <x:c r="J38" s="131" t="n">
        <x:f>IFERROR(INDEX('02_Cenik_panelu'!$K$7:$K$16,MATCH(C38,'02_Cenik_panelu'!$A$7:$A$16,0)),0)</x:f>
        <x:v>0</x:v>
      </x:c>
      <x:c r="K38" s="132" t="str">
        <x:f>IF(C38="","",I38*(1-J38))</x:f>
      </x:c>
      <x:c r="L38" s="133" t="n">
        <x:f>IFERROR(INDEX('02_Cenik_panelu'!$J$7:$J$16,MATCH(C38,'02_Cenik_panelu'!$A$7:$A$16,0)),0)</x:f>
        <x:v>0</x:v>
      </x:c>
      <x:c r="M38" s="134" t="str">
        <x:f>IF(C38="","",K38*L38)</x:f>
      </x:c>
      <x:c r="N38" s="32" t="str">
        <x:f>IF(C38="","",IF(L38&lt;=0,"CHYBA: CHYBÍ CENA",IF(I38&lt;=0,"CHYBA: CHYBÍ PLOCHA","OK")))</x:f>
      </x:c>
    </x:row>
    <x:row r="39">
      <x:c r="A39" s="39"/>
      <x:c r="B39" s="39"/>
      <x:c r="C39" s="39"/>
      <x:c r="D39" s="128" t="str">
        <x:f>IFERROR(INDEX('02_Cenik_panelu'!$B$7:$B$16,MATCH(C39,'02_Cenik_panelu'!$A$7:$A$16,0)),"")</x:f>
      </x:c>
      <x:c r="E39" s="128" t="str">
        <x:f>IFERROR(INDEX('02_Cenik_panelu'!$C$7:$C$16,MATCH(C39,'02_Cenik_panelu'!$A$7:$A$16,0)),"")</x:f>
      </x:c>
      <x:c r="F39" s="129"/>
      <x:c r="G39" s="129"/>
      <x:c r="H39" s="129"/>
      <x:c r="I39" s="130" t="str">
        <x:f>IF(C39="","",F39*G39*H39)</x:f>
      </x:c>
      <x:c r="J39" s="131" t="n">
        <x:f>IFERROR(INDEX('02_Cenik_panelu'!$K$7:$K$16,MATCH(C39,'02_Cenik_panelu'!$A$7:$A$16,0)),0)</x:f>
        <x:v>0</x:v>
      </x:c>
      <x:c r="K39" s="132" t="str">
        <x:f>IF(C39="","",I39*(1-J39))</x:f>
      </x:c>
      <x:c r="L39" s="133" t="n">
        <x:f>IFERROR(INDEX('02_Cenik_panelu'!$J$7:$J$16,MATCH(C39,'02_Cenik_panelu'!$A$7:$A$16,0)),0)</x:f>
        <x:v>0</x:v>
      </x:c>
      <x:c r="M39" s="134" t="str">
        <x:f>IF(C39="","",K39*L39)</x:f>
      </x:c>
      <x:c r="N39" s="32" t="str">
        <x:f>IF(C39="","",IF(L39&lt;=0,"CHYBA: CHYBÍ CENA",IF(I39&lt;=0,"CHYBA: CHYBÍ PLOCHA","OK")))</x:f>
      </x:c>
    </x:row>
    <x:row r="40">
      <x:c r="A40" s="39"/>
      <x:c r="B40" s="39"/>
      <x:c r="C40" s="39"/>
      <x:c r="D40" s="128" t="str">
        <x:f>IFERROR(INDEX('02_Cenik_panelu'!$B$7:$B$16,MATCH(C40,'02_Cenik_panelu'!$A$7:$A$16,0)),"")</x:f>
      </x:c>
      <x:c r="E40" s="128" t="str">
        <x:f>IFERROR(INDEX('02_Cenik_panelu'!$C$7:$C$16,MATCH(C40,'02_Cenik_panelu'!$A$7:$A$16,0)),"")</x:f>
      </x:c>
      <x:c r="F40" s="129"/>
      <x:c r="G40" s="129"/>
      <x:c r="H40" s="129"/>
      <x:c r="I40" s="130" t="str">
        <x:f>IF(C40="","",F40*G40*H40)</x:f>
      </x:c>
      <x:c r="J40" s="131" t="n">
        <x:f>IFERROR(INDEX('02_Cenik_panelu'!$K$7:$K$16,MATCH(C40,'02_Cenik_panelu'!$A$7:$A$16,0)),0)</x:f>
        <x:v>0</x:v>
      </x:c>
      <x:c r="K40" s="132" t="str">
        <x:f>IF(C40="","",I40*(1-J40))</x:f>
      </x:c>
      <x:c r="L40" s="133" t="n">
        <x:f>IFERROR(INDEX('02_Cenik_panelu'!$J$7:$J$16,MATCH(C40,'02_Cenik_panelu'!$A$7:$A$16,0)),0)</x:f>
        <x:v>0</x:v>
      </x:c>
      <x:c r="M40" s="134" t="str">
        <x:f>IF(C40="","",K40*L40)</x:f>
      </x:c>
      <x:c r="N40" s="32" t="str">
        <x:f>IF(C40="","",IF(L40&lt;=0,"CHYBA: CHYBÍ CENA",IF(I40&lt;=0,"CHYBA: CHYBÍ PLOCHA","OK")))</x:f>
      </x:c>
    </x:row>
    <x:row r="41">
      <x:c r="A41" s="39"/>
      <x:c r="B41" s="39"/>
      <x:c r="C41" s="39"/>
      <x:c r="D41" s="128" t="str">
        <x:f>IFERROR(INDEX('02_Cenik_panelu'!$B$7:$B$16,MATCH(C41,'02_Cenik_panelu'!$A$7:$A$16,0)),"")</x:f>
      </x:c>
      <x:c r="E41" s="128" t="str">
        <x:f>IFERROR(INDEX('02_Cenik_panelu'!$C$7:$C$16,MATCH(C41,'02_Cenik_panelu'!$A$7:$A$16,0)),"")</x:f>
      </x:c>
      <x:c r="F41" s="129"/>
      <x:c r="G41" s="129"/>
      <x:c r="H41" s="129"/>
      <x:c r="I41" s="130" t="str">
        <x:f>IF(C41="","",F41*G41*H41)</x:f>
      </x:c>
      <x:c r="J41" s="131" t="n">
        <x:f>IFERROR(INDEX('02_Cenik_panelu'!$K$7:$K$16,MATCH(C41,'02_Cenik_panelu'!$A$7:$A$16,0)),0)</x:f>
        <x:v>0</x:v>
      </x:c>
      <x:c r="K41" s="132" t="str">
        <x:f>IF(C41="","",I41*(1-J41))</x:f>
      </x:c>
      <x:c r="L41" s="133" t="n">
        <x:f>IFERROR(INDEX('02_Cenik_panelu'!$J$7:$J$16,MATCH(C41,'02_Cenik_panelu'!$A$7:$A$16,0)),0)</x:f>
        <x:v>0</x:v>
      </x:c>
      <x:c r="M41" s="134" t="str">
        <x:f>IF(C41="","",K41*L41)</x:f>
      </x:c>
      <x:c r="N41" s="32" t="str">
        <x:f>IF(C41="","",IF(L41&lt;=0,"CHYBA: CHYBÍ CENA",IF(I41&lt;=0,"CHYBA: CHYBÍ PLOCHA","OK")))</x:f>
      </x:c>
    </x:row>
    <x:row r="42">
      <x:c r="A42" s="39"/>
      <x:c r="B42" s="39"/>
      <x:c r="C42" s="39"/>
      <x:c r="D42" s="128" t="str">
        <x:f>IFERROR(INDEX('02_Cenik_panelu'!$B$7:$B$16,MATCH(C42,'02_Cenik_panelu'!$A$7:$A$16,0)),"")</x:f>
      </x:c>
      <x:c r="E42" s="128" t="str">
        <x:f>IFERROR(INDEX('02_Cenik_panelu'!$C$7:$C$16,MATCH(C42,'02_Cenik_panelu'!$A$7:$A$16,0)),"")</x:f>
      </x:c>
      <x:c r="F42" s="129"/>
      <x:c r="G42" s="129"/>
      <x:c r="H42" s="129"/>
      <x:c r="I42" s="130" t="str">
        <x:f>IF(C42="","",F42*G42*H42)</x:f>
      </x:c>
      <x:c r="J42" s="131" t="n">
        <x:f>IFERROR(INDEX('02_Cenik_panelu'!$K$7:$K$16,MATCH(C42,'02_Cenik_panelu'!$A$7:$A$16,0)),0)</x:f>
        <x:v>0</x:v>
      </x:c>
      <x:c r="K42" s="132" t="str">
        <x:f>IF(C42="","",I42*(1-J42))</x:f>
      </x:c>
      <x:c r="L42" s="133" t="n">
        <x:f>IFERROR(INDEX('02_Cenik_panelu'!$J$7:$J$16,MATCH(C42,'02_Cenik_panelu'!$A$7:$A$16,0)),0)</x:f>
        <x:v>0</x:v>
      </x:c>
      <x:c r="M42" s="134" t="str">
        <x:f>IF(C42="","",K42*L42)</x:f>
      </x:c>
      <x:c r="N42" s="32" t="str">
        <x:f>IF(C42="","",IF(L42&lt;=0,"CHYBA: CHYBÍ CENA",IF(I42&lt;=0,"CHYBA: CHYBÍ PLOCHA","OK")))</x:f>
      </x:c>
    </x:row>
    <x:row r="43">
      <x:c r="A43" s="39"/>
      <x:c r="B43" s="39"/>
      <x:c r="C43" s="39"/>
      <x:c r="D43" s="128" t="str">
        <x:f>IFERROR(INDEX('02_Cenik_panelu'!$B$7:$B$16,MATCH(C43,'02_Cenik_panelu'!$A$7:$A$16,0)),"")</x:f>
      </x:c>
      <x:c r="E43" s="128" t="str">
        <x:f>IFERROR(INDEX('02_Cenik_panelu'!$C$7:$C$16,MATCH(C43,'02_Cenik_panelu'!$A$7:$A$16,0)),"")</x:f>
      </x:c>
      <x:c r="F43" s="129"/>
      <x:c r="G43" s="129"/>
      <x:c r="H43" s="129"/>
      <x:c r="I43" s="130" t="str">
        <x:f>IF(C43="","",F43*G43*H43)</x:f>
      </x:c>
      <x:c r="J43" s="131" t="n">
        <x:f>IFERROR(INDEX('02_Cenik_panelu'!$K$7:$K$16,MATCH(C43,'02_Cenik_panelu'!$A$7:$A$16,0)),0)</x:f>
        <x:v>0</x:v>
      </x:c>
      <x:c r="K43" s="132" t="str">
        <x:f>IF(C43="","",I43*(1-J43))</x:f>
      </x:c>
      <x:c r="L43" s="133" t="n">
        <x:f>IFERROR(INDEX('02_Cenik_panelu'!$J$7:$J$16,MATCH(C43,'02_Cenik_panelu'!$A$7:$A$16,0)),0)</x:f>
        <x:v>0</x:v>
      </x:c>
      <x:c r="M43" s="134" t="str">
        <x:f>IF(C43="","",K43*L43)</x:f>
      </x:c>
      <x:c r="N43" s="32" t="str">
        <x:f>IF(C43="","",IF(L43&lt;=0,"CHYBA: CHYBÍ CENA",IF(I43&lt;=0,"CHYBA: CHYBÍ PLOCHA","OK")))</x:f>
      </x:c>
    </x:row>
    <x:row r="44">
      <x:c r="A44" s="39"/>
      <x:c r="B44" s="39"/>
      <x:c r="C44" s="39"/>
      <x:c r="D44" s="128" t="str">
        <x:f>IFERROR(INDEX('02_Cenik_panelu'!$B$7:$B$16,MATCH(C44,'02_Cenik_panelu'!$A$7:$A$16,0)),"")</x:f>
      </x:c>
      <x:c r="E44" s="128" t="str">
        <x:f>IFERROR(INDEX('02_Cenik_panelu'!$C$7:$C$16,MATCH(C44,'02_Cenik_panelu'!$A$7:$A$16,0)),"")</x:f>
      </x:c>
      <x:c r="F44" s="129"/>
      <x:c r="G44" s="129"/>
      <x:c r="H44" s="129"/>
      <x:c r="I44" s="130" t="str">
        <x:f>IF(C44="","",F44*G44*H44)</x:f>
      </x:c>
      <x:c r="J44" s="131" t="n">
        <x:f>IFERROR(INDEX('02_Cenik_panelu'!$K$7:$K$16,MATCH(C44,'02_Cenik_panelu'!$A$7:$A$16,0)),0)</x:f>
        <x:v>0</x:v>
      </x:c>
      <x:c r="K44" s="132" t="str">
        <x:f>IF(C44="","",I44*(1-J44))</x:f>
      </x:c>
      <x:c r="L44" s="133" t="n">
        <x:f>IFERROR(INDEX('02_Cenik_panelu'!$J$7:$J$16,MATCH(C44,'02_Cenik_panelu'!$A$7:$A$16,0)),0)</x:f>
        <x:v>0</x:v>
      </x:c>
      <x:c r="M44" s="134" t="str">
        <x:f>IF(C44="","",K44*L44)</x:f>
      </x:c>
      <x:c r="N44" s="32" t="str">
        <x:f>IF(C44="","",IF(L44&lt;=0,"CHYBA: CHYBÍ CENA",IF(I44&lt;=0,"CHYBA: CHYBÍ PLOCHA","OK")))</x:f>
      </x:c>
    </x:row>
    <x:row r="45">
      <x:c r="A45" s="39"/>
      <x:c r="B45" s="39"/>
      <x:c r="C45" s="39"/>
      <x:c r="D45" s="128" t="str">
        <x:f>IFERROR(INDEX('02_Cenik_panelu'!$B$7:$B$16,MATCH(C45,'02_Cenik_panelu'!$A$7:$A$16,0)),"")</x:f>
      </x:c>
      <x:c r="E45" s="128" t="str">
        <x:f>IFERROR(INDEX('02_Cenik_panelu'!$C$7:$C$16,MATCH(C45,'02_Cenik_panelu'!$A$7:$A$16,0)),"")</x:f>
      </x:c>
      <x:c r="F45" s="129"/>
      <x:c r="G45" s="129"/>
      <x:c r="H45" s="129"/>
      <x:c r="I45" s="130" t="str">
        <x:f>IF(C45="","",F45*G45*H45)</x:f>
      </x:c>
      <x:c r="J45" s="131" t="n">
        <x:f>IFERROR(INDEX('02_Cenik_panelu'!$K$7:$K$16,MATCH(C45,'02_Cenik_panelu'!$A$7:$A$16,0)),0)</x:f>
        <x:v>0</x:v>
      </x:c>
      <x:c r="K45" s="132" t="str">
        <x:f>IF(C45="","",I45*(1-J45))</x:f>
      </x:c>
      <x:c r="L45" s="133" t="n">
        <x:f>IFERROR(INDEX('02_Cenik_panelu'!$J$7:$J$16,MATCH(C45,'02_Cenik_panelu'!$A$7:$A$16,0)),0)</x:f>
        <x:v>0</x:v>
      </x:c>
      <x:c r="M45" s="134" t="str">
        <x:f>IF(C45="","",K45*L45)</x:f>
      </x:c>
      <x:c r="N45" s="32" t="str">
        <x:f>IF(C45="","",IF(L45&lt;=0,"CHYBA: CHYBÍ CENA",IF(I45&lt;=0,"CHYBA: CHYBÍ PLOCHA","OK")))</x:f>
      </x:c>
    </x:row>
    <x:row r="46">
      <x:c r="A46" s="39"/>
      <x:c r="B46" s="39"/>
      <x:c r="C46" s="39"/>
      <x:c r="D46" s="128" t="str">
        <x:f>IFERROR(INDEX('02_Cenik_panelu'!$B$7:$B$16,MATCH(C46,'02_Cenik_panelu'!$A$7:$A$16,0)),"")</x:f>
      </x:c>
      <x:c r="E46" s="128" t="str">
        <x:f>IFERROR(INDEX('02_Cenik_panelu'!$C$7:$C$16,MATCH(C46,'02_Cenik_panelu'!$A$7:$A$16,0)),"")</x:f>
      </x:c>
      <x:c r="F46" s="129"/>
      <x:c r="G46" s="129"/>
      <x:c r="H46" s="129"/>
      <x:c r="I46" s="130" t="str">
        <x:f>IF(C46="","",F46*G46*H46)</x:f>
      </x:c>
      <x:c r="J46" s="131" t="n">
        <x:f>IFERROR(INDEX('02_Cenik_panelu'!$K$7:$K$16,MATCH(C46,'02_Cenik_panelu'!$A$7:$A$16,0)),0)</x:f>
        <x:v>0</x:v>
      </x:c>
      <x:c r="K46" s="132" t="str">
        <x:f>IF(C46="","",I46*(1-J46))</x:f>
      </x:c>
      <x:c r="L46" s="133" t="n">
        <x:f>IFERROR(INDEX('02_Cenik_panelu'!$J$7:$J$16,MATCH(C46,'02_Cenik_panelu'!$A$7:$A$16,0)),0)</x:f>
        <x:v>0</x:v>
      </x:c>
      <x:c r="M46" s="134" t="str">
        <x:f>IF(C46="","",K46*L46)</x:f>
      </x:c>
      <x:c r="N46" s="32" t="str">
        <x:f>IF(C46="","",IF(L46&lt;=0,"CHYBA: CHYBÍ CENA",IF(I46&lt;=0,"CHYBA: CHYBÍ PLOCHA","OK")))</x:f>
      </x:c>
    </x:row>
    <x:row r="47">
      <x:c r="A47" s="39"/>
      <x:c r="B47" s="39"/>
      <x:c r="C47" s="39"/>
      <x:c r="D47" s="128" t="str">
        <x:f>IFERROR(INDEX('02_Cenik_panelu'!$B$7:$B$16,MATCH(C47,'02_Cenik_panelu'!$A$7:$A$16,0)),"")</x:f>
      </x:c>
      <x:c r="E47" s="128" t="str">
        <x:f>IFERROR(INDEX('02_Cenik_panelu'!$C$7:$C$16,MATCH(C47,'02_Cenik_panelu'!$A$7:$A$16,0)),"")</x:f>
      </x:c>
      <x:c r="F47" s="129"/>
      <x:c r="G47" s="129"/>
      <x:c r="H47" s="129"/>
      <x:c r="I47" s="130" t="str">
        <x:f>IF(C47="","",F47*G47*H47)</x:f>
      </x:c>
      <x:c r="J47" s="131" t="n">
        <x:f>IFERROR(INDEX('02_Cenik_panelu'!$K$7:$K$16,MATCH(C47,'02_Cenik_panelu'!$A$7:$A$16,0)),0)</x:f>
        <x:v>0</x:v>
      </x:c>
      <x:c r="K47" s="132" t="str">
        <x:f>IF(C47="","",I47*(1-J47))</x:f>
      </x:c>
      <x:c r="L47" s="133" t="n">
        <x:f>IFERROR(INDEX('02_Cenik_panelu'!$J$7:$J$16,MATCH(C47,'02_Cenik_panelu'!$A$7:$A$16,0)),0)</x:f>
        <x:v>0</x:v>
      </x:c>
      <x:c r="M47" s="134" t="str">
        <x:f>IF(C47="","",K47*L47)</x:f>
      </x:c>
      <x:c r="N47" s="32" t="str">
        <x:f>IF(C47="","",IF(L47&lt;=0,"CHYBA: CHYBÍ CENA",IF(I47&lt;=0,"CHYBA: CHYBÍ PLOCHA","OK")))</x:f>
      </x:c>
    </x:row>
    <x:row r="48">
      <x:c r="A48" s="39"/>
      <x:c r="B48" s="39"/>
      <x:c r="C48" s="39"/>
      <x:c r="D48" s="128" t="str">
        <x:f>IFERROR(INDEX('02_Cenik_panelu'!$B$7:$B$16,MATCH(C48,'02_Cenik_panelu'!$A$7:$A$16,0)),"")</x:f>
      </x:c>
      <x:c r="E48" s="128" t="str">
        <x:f>IFERROR(INDEX('02_Cenik_panelu'!$C$7:$C$16,MATCH(C48,'02_Cenik_panelu'!$A$7:$A$16,0)),"")</x:f>
      </x:c>
      <x:c r="F48" s="129"/>
      <x:c r="G48" s="129"/>
      <x:c r="H48" s="129"/>
      <x:c r="I48" s="130" t="str">
        <x:f>IF(C48="","",F48*G48*H48)</x:f>
      </x:c>
      <x:c r="J48" s="131" t="n">
        <x:f>IFERROR(INDEX('02_Cenik_panelu'!$K$7:$K$16,MATCH(C48,'02_Cenik_panelu'!$A$7:$A$16,0)),0)</x:f>
        <x:v>0</x:v>
      </x:c>
      <x:c r="K48" s="132" t="str">
        <x:f>IF(C48="","",I48*(1-J48))</x:f>
      </x:c>
      <x:c r="L48" s="133" t="n">
        <x:f>IFERROR(INDEX('02_Cenik_panelu'!$J$7:$J$16,MATCH(C48,'02_Cenik_panelu'!$A$7:$A$16,0)),0)</x:f>
        <x:v>0</x:v>
      </x:c>
      <x:c r="M48" s="134" t="str">
        <x:f>IF(C48="","",K48*L48)</x:f>
      </x:c>
      <x:c r="N48" s="32" t="str">
        <x:f>IF(C48="","",IF(L48&lt;=0,"CHYBA: CHYBÍ CENA",IF(I48&lt;=0,"CHYBA: CHYBÍ PLOCHA","OK")))</x:f>
      </x:c>
    </x:row>
    <x:row r="49">
      <x:c r="A49" s="39"/>
      <x:c r="B49" s="39"/>
      <x:c r="C49" s="39"/>
      <x:c r="D49" s="128" t="str">
        <x:f>IFERROR(INDEX('02_Cenik_panelu'!$B$7:$B$16,MATCH(C49,'02_Cenik_panelu'!$A$7:$A$16,0)),"")</x:f>
      </x:c>
      <x:c r="E49" s="128" t="str">
        <x:f>IFERROR(INDEX('02_Cenik_panelu'!$C$7:$C$16,MATCH(C49,'02_Cenik_panelu'!$A$7:$A$16,0)),"")</x:f>
      </x:c>
      <x:c r="F49" s="129"/>
      <x:c r="G49" s="129"/>
      <x:c r="H49" s="129"/>
      <x:c r="I49" s="130" t="str">
        <x:f>IF(C49="","",F49*G49*H49)</x:f>
      </x:c>
      <x:c r="J49" s="131" t="n">
        <x:f>IFERROR(INDEX('02_Cenik_panelu'!$K$7:$K$16,MATCH(C49,'02_Cenik_panelu'!$A$7:$A$16,0)),0)</x:f>
        <x:v>0</x:v>
      </x:c>
      <x:c r="K49" s="132" t="str">
        <x:f>IF(C49="","",I49*(1-J49))</x:f>
      </x:c>
      <x:c r="L49" s="133" t="n">
        <x:f>IFERROR(INDEX('02_Cenik_panelu'!$J$7:$J$16,MATCH(C49,'02_Cenik_panelu'!$A$7:$A$16,0)),0)</x:f>
        <x:v>0</x:v>
      </x:c>
      <x:c r="M49" s="134" t="str">
        <x:f>IF(C49="","",K49*L49)</x:f>
      </x:c>
      <x:c r="N49" s="32" t="str">
        <x:f>IF(C49="","",IF(L49&lt;=0,"CHYBA: CHYBÍ CENA",IF(I49&lt;=0,"CHYBA: CHYBÍ PLOCHA","OK")))</x:f>
      </x:c>
    </x:row>
    <x:row r="50">
      <x:c r="A50" s="39"/>
      <x:c r="B50" s="39"/>
      <x:c r="C50" s="39"/>
      <x:c r="D50" s="128" t="str">
        <x:f>IFERROR(INDEX('02_Cenik_panelu'!$B$7:$B$16,MATCH(C50,'02_Cenik_panelu'!$A$7:$A$16,0)),"")</x:f>
      </x:c>
      <x:c r="E50" s="128" t="str">
        <x:f>IFERROR(INDEX('02_Cenik_panelu'!$C$7:$C$16,MATCH(C50,'02_Cenik_panelu'!$A$7:$A$16,0)),"")</x:f>
      </x:c>
      <x:c r="F50" s="129"/>
      <x:c r="G50" s="129"/>
      <x:c r="H50" s="129"/>
      <x:c r="I50" s="130" t="str">
        <x:f>IF(C50="","",F50*G50*H50)</x:f>
      </x:c>
      <x:c r="J50" s="131" t="n">
        <x:f>IFERROR(INDEX('02_Cenik_panelu'!$K$7:$K$16,MATCH(C50,'02_Cenik_panelu'!$A$7:$A$16,0)),0)</x:f>
        <x:v>0</x:v>
      </x:c>
      <x:c r="K50" s="132" t="str">
        <x:f>IF(C50="","",I50*(1-J50))</x:f>
      </x:c>
      <x:c r="L50" s="133" t="n">
        <x:f>IFERROR(INDEX('02_Cenik_panelu'!$J$7:$J$16,MATCH(C50,'02_Cenik_panelu'!$A$7:$A$16,0)),0)</x:f>
        <x:v>0</x:v>
      </x:c>
      <x:c r="M50" s="134" t="str">
        <x:f>IF(C50="","",K50*L50)</x:f>
      </x:c>
      <x:c r="N50" s="32" t="str">
        <x:f>IF(C50="","",IF(L50&lt;=0,"CHYBA: CHYBÍ CENA",IF(I50&lt;=0,"CHYBA: CHYBÍ PLOCHA","OK")))</x:f>
      </x:c>
    </x:row>
    <x:row r="51">
      <x:c r="A51" s="39"/>
      <x:c r="B51" s="39"/>
      <x:c r="C51" s="39"/>
      <x:c r="D51" s="128" t="str">
        <x:f>IFERROR(INDEX('02_Cenik_panelu'!$B$7:$B$16,MATCH(C51,'02_Cenik_panelu'!$A$7:$A$16,0)),"")</x:f>
      </x:c>
      <x:c r="E51" s="128" t="str">
        <x:f>IFERROR(INDEX('02_Cenik_panelu'!$C$7:$C$16,MATCH(C51,'02_Cenik_panelu'!$A$7:$A$16,0)),"")</x:f>
      </x:c>
      <x:c r="F51" s="129"/>
      <x:c r="G51" s="129"/>
      <x:c r="H51" s="129"/>
      <x:c r="I51" s="130" t="str">
        <x:f>IF(C51="","",F51*G51*H51)</x:f>
      </x:c>
      <x:c r="J51" s="131" t="n">
        <x:f>IFERROR(INDEX('02_Cenik_panelu'!$K$7:$K$16,MATCH(C51,'02_Cenik_panelu'!$A$7:$A$16,0)),0)</x:f>
        <x:v>0</x:v>
      </x:c>
      <x:c r="K51" s="132" t="str">
        <x:f>IF(C51="","",I51*(1-J51))</x:f>
      </x:c>
      <x:c r="L51" s="133" t="n">
        <x:f>IFERROR(INDEX('02_Cenik_panelu'!$J$7:$J$16,MATCH(C51,'02_Cenik_panelu'!$A$7:$A$16,0)),0)</x:f>
        <x:v>0</x:v>
      </x:c>
      <x:c r="M51" s="134" t="str">
        <x:f>IF(C51="","",K51*L51)</x:f>
      </x:c>
      <x:c r="N51" s="32" t="str">
        <x:f>IF(C51="","",IF(L51&lt;=0,"CHYBA: CHYBÍ CENA",IF(I51&lt;=0,"CHYBA: CHYBÍ PLOCHA","OK")))</x:f>
      </x:c>
    </x:row>
    <x:row r="52">
      <x:c r="A52" s="39"/>
      <x:c r="B52" s="39"/>
      <x:c r="C52" s="39"/>
      <x:c r="D52" s="128" t="str">
        <x:f>IFERROR(INDEX('02_Cenik_panelu'!$B$7:$B$16,MATCH(C52,'02_Cenik_panelu'!$A$7:$A$16,0)),"")</x:f>
      </x:c>
      <x:c r="E52" s="128" t="str">
        <x:f>IFERROR(INDEX('02_Cenik_panelu'!$C$7:$C$16,MATCH(C52,'02_Cenik_panelu'!$A$7:$A$16,0)),"")</x:f>
      </x:c>
      <x:c r="F52" s="129"/>
      <x:c r="G52" s="129"/>
      <x:c r="H52" s="129"/>
      <x:c r="I52" s="130" t="str">
        <x:f>IF(C52="","",F52*G52*H52)</x:f>
      </x:c>
      <x:c r="J52" s="131" t="n">
        <x:f>IFERROR(INDEX('02_Cenik_panelu'!$K$7:$K$16,MATCH(C52,'02_Cenik_panelu'!$A$7:$A$16,0)),0)</x:f>
        <x:v>0</x:v>
      </x:c>
      <x:c r="K52" s="132" t="str">
        <x:f>IF(C52="","",I52*(1-J52))</x:f>
      </x:c>
      <x:c r="L52" s="133" t="n">
        <x:f>IFERROR(INDEX('02_Cenik_panelu'!$J$7:$J$16,MATCH(C52,'02_Cenik_panelu'!$A$7:$A$16,0)),0)</x:f>
        <x:v>0</x:v>
      </x:c>
      <x:c r="M52" s="134" t="str">
        <x:f>IF(C52="","",K52*L52)</x:f>
      </x:c>
      <x:c r="N52" s="32" t="str">
        <x:f>IF(C52="","",IF(L52&lt;=0,"CHYBA: CHYBÍ CENA",IF(I52&lt;=0,"CHYBA: CHYBÍ PLOCHA","OK")))</x:f>
      </x:c>
    </x:row>
    <x:row r="53">
      <x:c r="A53" s="39"/>
      <x:c r="B53" s="39"/>
      <x:c r="C53" s="39"/>
      <x:c r="D53" s="128" t="str">
        <x:f>IFERROR(INDEX('02_Cenik_panelu'!$B$7:$B$16,MATCH(C53,'02_Cenik_panelu'!$A$7:$A$16,0)),"")</x:f>
      </x:c>
      <x:c r="E53" s="128" t="str">
        <x:f>IFERROR(INDEX('02_Cenik_panelu'!$C$7:$C$16,MATCH(C53,'02_Cenik_panelu'!$A$7:$A$16,0)),"")</x:f>
      </x:c>
      <x:c r="F53" s="129"/>
      <x:c r="G53" s="129"/>
      <x:c r="H53" s="129"/>
      <x:c r="I53" s="130" t="str">
        <x:f>IF(C53="","",F53*G53*H53)</x:f>
      </x:c>
      <x:c r="J53" s="131" t="n">
        <x:f>IFERROR(INDEX('02_Cenik_panelu'!$K$7:$K$16,MATCH(C53,'02_Cenik_panelu'!$A$7:$A$16,0)),0)</x:f>
        <x:v>0</x:v>
      </x:c>
      <x:c r="K53" s="132" t="str">
        <x:f>IF(C53="","",I53*(1-J53))</x:f>
      </x:c>
      <x:c r="L53" s="133" t="n">
        <x:f>IFERROR(INDEX('02_Cenik_panelu'!$J$7:$J$16,MATCH(C53,'02_Cenik_panelu'!$A$7:$A$16,0)),0)</x:f>
        <x:v>0</x:v>
      </x:c>
      <x:c r="M53" s="134" t="str">
        <x:f>IF(C53="","",K53*L53)</x:f>
      </x:c>
      <x:c r="N53" s="32" t="str">
        <x:f>IF(C53="","",IF(L53&lt;=0,"CHYBA: CHYBÍ CENA",IF(I53&lt;=0,"CHYBA: CHYBÍ PLOCHA","OK")))</x:f>
      </x:c>
    </x:row>
    <x:row r="54">
      <x:c r="A54" s="39"/>
      <x:c r="B54" s="39"/>
      <x:c r="C54" s="39"/>
      <x:c r="D54" s="128" t="str">
        <x:f>IFERROR(INDEX('02_Cenik_panelu'!$B$7:$B$16,MATCH(C54,'02_Cenik_panelu'!$A$7:$A$16,0)),"")</x:f>
      </x:c>
      <x:c r="E54" s="128" t="str">
        <x:f>IFERROR(INDEX('02_Cenik_panelu'!$C$7:$C$16,MATCH(C54,'02_Cenik_panelu'!$A$7:$A$16,0)),"")</x:f>
      </x:c>
      <x:c r="F54" s="129"/>
      <x:c r="G54" s="129"/>
      <x:c r="H54" s="129"/>
      <x:c r="I54" s="130" t="str">
        <x:f>IF(C54="","",F54*G54*H54)</x:f>
      </x:c>
      <x:c r="J54" s="131" t="n">
        <x:f>IFERROR(INDEX('02_Cenik_panelu'!$K$7:$K$16,MATCH(C54,'02_Cenik_panelu'!$A$7:$A$16,0)),0)</x:f>
        <x:v>0</x:v>
      </x:c>
      <x:c r="K54" s="132" t="str">
        <x:f>IF(C54="","",I54*(1-J54))</x:f>
      </x:c>
      <x:c r="L54" s="133" t="n">
        <x:f>IFERROR(INDEX('02_Cenik_panelu'!$J$7:$J$16,MATCH(C54,'02_Cenik_panelu'!$A$7:$A$16,0)),0)</x:f>
        <x:v>0</x:v>
      </x:c>
      <x:c r="M54" s="134" t="str">
        <x:f>IF(C54="","",K54*L54)</x:f>
      </x:c>
      <x:c r="N54" s="32" t="str">
        <x:f>IF(C54="","",IF(L54&lt;=0,"CHYBA: CHYBÍ CENA",IF(I54&lt;=0,"CHYBA: CHYBÍ PLOCHA","OK")))</x:f>
      </x:c>
    </x:row>
    <x:row r="55">
      <x:c r="A55" s="39"/>
      <x:c r="B55" s="39"/>
      <x:c r="C55" s="39"/>
      <x:c r="D55" s="128" t="str">
        <x:f>IFERROR(INDEX('02_Cenik_panelu'!$B$7:$B$16,MATCH(C55,'02_Cenik_panelu'!$A$7:$A$16,0)),"")</x:f>
      </x:c>
      <x:c r="E55" s="128" t="str">
        <x:f>IFERROR(INDEX('02_Cenik_panelu'!$C$7:$C$16,MATCH(C55,'02_Cenik_panelu'!$A$7:$A$16,0)),"")</x:f>
      </x:c>
      <x:c r="F55" s="129"/>
      <x:c r="G55" s="129"/>
      <x:c r="H55" s="129"/>
      <x:c r="I55" s="130" t="str">
        <x:f>IF(C55="","",F55*G55*H55)</x:f>
      </x:c>
      <x:c r="J55" s="131" t="n">
        <x:f>IFERROR(INDEX('02_Cenik_panelu'!$K$7:$K$16,MATCH(C55,'02_Cenik_panelu'!$A$7:$A$16,0)),0)</x:f>
        <x:v>0</x:v>
      </x:c>
      <x:c r="K55" s="132" t="str">
        <x:f>IF(C55="","",I55*(1-J55))</x:f>
      </x:c>
      <x:c r="L55" s="133" t="n">
        <x:f>IFERROR(INDEX('02_Cenik_panelu'!$J$7:$J$16,MATCH(C55,'02_Cenik_panelu'!$A$7:$A$16,0)),0)</x:f>
        <x:v>0</x:v>
      </x:c>
      <x:c r="M55" s="134" t="str">
        <x:f>IF(C55="","",K55*L55)</x:f>
      </x:c>
      <x:c r="N55" s="32" t="str">
        <x:f>IF(C55="","",IF(L55&lt;=0,"CHYBA: CHYBÍ CENA",IF(I55&lt;=0,"CHYBA: CHYBÍ PLOCHA","OK")))</x:f>
      </x:c>
    </x:row>
    <x:row r="56">
      <x:c r="A56" s="39"/>
      <x:c r="B56" s="39"/>
      <x:c r="C56" s="39"/>
      <x:c r="D56" s="128" t="str">
        <x:f>IFERROR(INDEX('02_Cenik_panelu'!$B$7:$B$16,MATCH(C56,'02_Cenik_panelu'!$A$7:$A$16,0)),"")</x:f>
      </x:c>
      <x:c r="E56" s="128" t="str">
        <x:f>IFERROR(INDEX('02_Cenik_panelu'!$C$7:$C$16,MATCH(C56,'02_Cenik_panelu'!$A$7:$A$16,0)),"")</x:f>
      </x:c>
      <x:c r="F56" s="129"/>
      <x:c r="G56" s="129"/>
      <x:c r="H56" s="129"/>
      <x:c r="I56" s="130" t="str">
        <x:f>IF(C56="","",F56*G56*H56)</x:f>
      </x:c>
      <x:c r="J56" s="131" t="n">
        <x:f>IFERROR(INDEX('02_Cenik_panelu'!$K$7:$K$16,MATCH(C56,'02_Cenik_panelu'!$A$7:$A$16,0)),0)</x:f>
        <x:v>0</x:v>
      </x:c>
      <x:c r="K56" s="132" t="str">
        <x:f>IF(C56="","",I56*(1-J56))</x:f>
      </x:c>
      <x:c r="L56" s="133" t="n">
        <x:f>IFERROR(INDEX('02_Cenik_panelu'!$J$7:$J$16,MATCH(C56,'02_Cenik_panelu'!$A$7:$A$16,0)),0)</x:f>
        <x:v>0</x:v>
      </x:c>
      <x:c r="M56" s="134" t="str">
        <x:f>IF(C56="","",K56*L56)</x:f>
      </x:c>
      <x:c r="N56" s="32" t="str">
        <x:f>IF(C56="","",IF(L56&lt;=0,"CHYBA: CHYBÍ CENA",IF(I56&lt;=0,"CHYBA: CHYBÍ PLOCHA","OK")))</x:f>
      </x:c>
    </x:row>
    <x:row r="57">
      <x:c r="A57" s="39"/>
      <x:c r="B57" s="39"/>
      <x:c r="C57" s="39"/>
      <x:c r="D57" s="128" t="str">
        <x:f>IFERROR(INDEX('02_Cenik_panelu'!$B$7:$B$16,MATCH(C57,'02_Cenik_panelu'!$A$7:$A$16,0)),"")</x:f>
      </x:c>
      <x:c r="E57" s="128" t="str">
        <x:f>IFERROR(INDEX('02_Cenik_panelu'!$C$7:$C$16,MATCH(C57,'02_Cenik_panelu'!$A$7:$A$16,0)),"")</x:f>
      </x:c>
      <x:c r="F57" s="129"/>
      <x:c r="G57" s="129"/>
      <x:c r="H57" s="129"/>
      <x:c r="I57" s="130" t="str">
        <x:f>IF(C57="","",F57*G57*H57)</x:f>
      </x:c>
      <x:c r="J57" s="131" t="n">
        <x:f>IFERROR(INDEX('02_Cenik_panelu'!$K$7:$K$16,MATCH(C57,'02_Cenik_panelu'!$A$7:$A$16,0)),0)</x:f>
        <x:v>0</x:v>
      </x:c>
      <x:c r="K57" s="132" t="str">
        <x:f>IF(C57="","",I57*(1-J57))</x:f>
      </x:c>
      <x:c r="L57" s="133" t="n">
        <x:f>IFERROR(INDEX('02_Cenik_panelu'!$J$7:$J$16,MATCH(C57,'02_Cenik_panelu'!$A$7:$A$16,0)),0)</x:f>
        <x:v>0</x:v>
      </x:c>
      <x:c r="M57" s="134" t="str">
        <x:f>IF(C57="","",K57*L57)</x:f>
      </x:c>
      <x:c r="N57" s="32" t="str">
        <x:f>IF(C57="","",IF(L57&lt;=0,"CHYBA: CHYBÍ CENA",IF(I57&lt;=0,"CHYBA: CHYBÍ PLOCHA","OK")))</x:f>
      </x:c>
    </x:row>
    <x:row r="58">
      <x:c r="A58" s="39"/>
      <x:c r="B58" s="39"/>
      <x:c r="C58" s="39"/>
      <x:c r="D58" s="128" t="str">
        <x:f>IFERROR(INDEX('02_Cenik_panelu'!$B$7:$B$16,MATCH(C58,'02_Cenik_panelu'!$A$7:$A$16,0)),"")</x:f>
      </x:c>
      <x:c r="E58" s="128" t="str">
        <x:f>IFERROR(INDEX('02_Cenik_panelu'!$C$7:$C$16,MATCH(C58,'02_Cenik_panelu'!$A$7:$A$16,0)),"")</x:f>
      </x:c>
      <x:c r="F58" s="129"/>
      <x:c r="G58" s="129"/>
      <x:c r="H58" s="129"/>
      <x:c r="I58" s="130" t="str">
        <x:f>IF(C58="","",F58*G58*H58)</x:f>
      </x:c>
      <x:c r="J58" s="131" t="n">
        <x:f>IFERROR(INDEX('02_Cenik_panelu'!$K$7:$K$16,MATCH(C58,'02_Cenik_panelu'!$A$7:$A$16,0)),0)</x:f>
        <x:v>0</x:v>
      </x:c>
      <x:c r="K58" s="132" t="str">
        <x:f>IF(C58="","",I58*(1-J58))</x:f>
      </x:c>
      <x:c r="L58" s="133" t="n">
        <x:f>IFERROR(INDEX('02_Cenik_panelu'!$J$7:$J$16,MATCH(C58,'02_Cenik_panelu'!$A$7:$A$16,0)),0)</x:f>
        <x:v>0</x:v>
      </x:c>
      <x:c r="M58" s="134" t="str">
        <x:f>IF(C58="","",K58*L58)</x:f>
      </x:c>
      <x:c r="N58" s="32" t="str">
        <x:f>IF(C58="","",IF(L58&lt;=0,"CHYBA: CHYBÍ CENA",IF(I58&lt;=0,"CHYBA: CHYBÍ PLOCHA","OK")))</x:f>
      </x:c>
    </x:row>
    <x:row r="59">
      <x:c r="A59" s="39"/>
      <x:c r="B59" s="39"/>
      <x:c r="C59" s="39"/>
      <x:c r="D59" s="128" t="str">
        <x:f>IFERROR(INDEX('02_Cenik_panelu'!$B$7:$B$16,MATCH(C59,'02_Cenik_panelu'!$A$7:$A$16,0)),"")</x:f>
      </x:c>
      <x:c r="E59" s="128" t="str">
        <x:f>IFERROR(INDEX('02_Cenik_panelu'!$C$7:$C$16,MATCH(C59,'02_Cenik_panelu'!$A$7:$A$16,0)),"")</x:f>
      </x:c>
      <x:c r="F59" s="129"/>
      <x:c r="G59" s="129"/>
      <x:c r="H59" s="129"/>
      <x:c r="I59" s="130" t="str">
        <x:f>IF(C59="","",F59*G59*H59)</x:f>
      </x:c>
      <x:c r="J59" s="131" t="n">
        <x:f>IFERROR(INDEX('02_Cenik_panelu'!$K$7:$K$16,MATCH(C59,'02_Cenik_panelu'!$A$7:$A$16,0)),0)</x:f>
        <x:v>0</x:v>
      </x:c>
      <x:c r="K59" s="132" t="str">
        <x:f>IF(C59="","",I59*(1-J59))</x:f>
      </x:c>
      <x:c r="L59" s="133" t="n">
        <x:f>IFERROR(INDEX('02_Cenik_panelu'!$J$7:$J$16,MATCH(C59,'02_Cenik_panelu'!$A$7:$A$16,0)),0)</x:f>
        <x:v>0</x:v>
      </x:c>
      <x:c r="M59" s="134" t="str">
        <x:f>IF(C59="","",K59*L59)</x:f>
      </x:c>
      <x:c r="N59" s="32" t="str">
        <x:f>IF(C59="","",IF(L59&lt;=0,"CHYBA: CHYBÍ CENA",IF(I59&lt;=0,"CHYBA: CHYBÍ PLOCHA","OK")))</x:f>
      </x:c>
    </x:row>
    <x:row r="60">
      <x:c r="A60" s="39"/>
      <x:c r="B60" s="39"/>
      <x:c r="C60" s="39"/>
      <x:c r="D60" s="128" t="str">
        <x:f>IFERROR(INDEX('02_Cenik_panelu'!$B$7:$B$16,MATCH(C60,'02_Cenik_panelu'!$A$7:$A$16,0)),"")</x:f>
      </x:c>
      <x:c r="E60" s="128" t="str">
        <x:f>IFERROR(INDEX('02_Cenik_panelu'!$C$7:$C$16,MATCH(C60,'02_Cenik_panelu'!$A$7:$A$16,0)),"")</x:f>
      </x:c>
      <x:c r="F60" s="129"/>
      <x:c r="G60" s="129"/>
      <x:c r="H60" s="129"/>
      <x:c r="I60" s="130" t="str">
        <x:f>IF(C60="","",F60*G60*H60)</x:f>
      </x:c>
      <x:c r="J60" s="131" t="n">
        <x:f>IFERROR(INDEX('02_Cenik_panelu'!$K$7:$K$16,MATCH(C60,'02_Cenik_panelu'!$A$7:$A$16,0)),0)</x:f>
        <x:v>0</x:v>
      </x:c>
      <x:c r="K60" s="132" t="str">
        <x:f>IF(C60="","",I60*(1-J60))</x:f>
      </x:c>
      <x:c r="L60" s="133" t="n">
        <x:f>IFERROR(INDEX('02_Cenik_panelu'!$J$7:$J$16,MATCH(C60,'02_Cenik_panelu'!$A$7:$A$16,0)),0)</x:f>
        <x:v>0</x:v>
      </x:c>
      <x:c r="M60" s="134" t="str">
        <x:f>IF(C60="","",K60*L60)</x:f>
      </x:c>
      <x:c r="N60" s="32" t="str">
        <x:f>IF(C60="","",IF(L60&lt;=0,"CHYBA: CHYBÍ CENA",IF(I60&lt;=0,"CHYBA: CHYBÍ PLOCHA","OK")))</x:f>
      </x:c>
    </x:row>
    <x:row r="61">
      <x:c r="A61" s="39"/>
      <x:c r="B61" s="39"/>
      <x:c r="C61" s="39"/>
      <x:c r="D61" s="128" t="str">
        <x:f>IFERROR(INDEX('02_Cenik_panelu'!$B$7:$B$16,MATCH(C61,'02_Cenik_panelu'!$A$7:$A$16,0)),"")</x:f>
      </x:c>
      <x:c r="E61" s="128" t="str">
        <x:f>IFERROR(INDEX('02_Cenik_panelu'!$C$7:$C$16,MATCH(C61,'02_Cenik_panelu'!$A$7:$A$16,0)),"")</x:f>
      </x:c>
      <x:c r="F61" s="129"/>
      <x:c r="G61" s="129"/>
      <x:c r="H61" s="129"/>
      <x:c r="I61" s="130" t="str">
        <x:f>IF(C61="","",F61*G61*H61)</x:f>
      </x:c>
      <x:c r="J61" s="131" t="n">
        <x:f>IFERROR(INDEX('02_Cenik_panelu'!$K$7:$K$16,MATCH(C61,'02_Cenik_panelu'!$A$7:$A$16,0)),0)</x:f>
        <x:v>0</x:v>
      </x:c>
      <x:c r="K61" s="132" t="str">
        <x:f>IF(C61="","",I61*(1-J61))</x:f>
      </x:c>
      <x:c r="L61" s="133" t="n">
        <x:f>IFERROR(INDEX('02_Cenik_panelu'!$J$7:$J$16,MATCH(C61,'02_Cenik_panelu'!$A$7:$A$16,0)),0)</x:f>
        <x:v>0</x:v>
      </x:c>
      <x:c r="M61" s="134" t="str">
        <x:f>IF(C61="","",K61*L61)</x:f>
      </x:c>
      <x:c r="N61" s="32" t="str">
        <x:f>IF(C61="","",IF(L61&lt;=0,"CHYBA: CHYBÍ CENA",IF(I61&lt;=0,"CHYBA: CHYBÍ PLOCHA","OK")))</x:f>
      </x:c>
    </x:row>
    <x:row r="62">
      <x:c r="A62" s="39"/>
      <x:c r="B62" s="39"/>
      <x:c r="C62" s="39"/>
      <x:c r="D62" s="128" t="str">
        <x:f>IFERROR(INDEX('02_Cenik_panelu'!$B$7:$B$16,MATCH(C62,'02_Cenik_panelu'!$A$7:$A$16,0)),"")</x:f>
      </x:c>
      <x:c r="E62" s="128" t="str">
        <x:f>IFERROR(INDEX('02_Cenik_panelu'!$C$7:$C$16,MATCH(C62,'02_Cenik_panelu'!$A$7:$A$16,0)),"")</x:f>
      </x:c>
      <x:c r="F62" s="129"/>
      <x:c r="G62" s="129"/>
      <x:c r="H62" s="129"/>
      <x:c r="I62" s="130" t="str">
        <x:f>IF(C62="","",F62*G62*H62)</x:f>
      </x:c>
      <x:c r="J62" s="131" t="n">
        <x:f>IFERROR(INDEX('02_Cenik_panelu'!$K$7:$K$16,MATCH(C62,'02_Cenik_panelu'!$A$7:$A$16,0)),0)</x:f>
        <x:v>0</x:v>
      </x:c>
      <x:c r="K62" s="132" t="str">
        <x:f>IF(C62="","",I62*(1-J62))</x:f>
      </x:c>
      <x:c r="L62" s="133" t="n">
        <x:f>IFERROR(INDEX('02_Cenik_panelu'!$J$7:$J$16,MATCH(C62,'02_Cenik_panelu'!$A$7:$A$16,0)),0)</x:f>
        <x:v>0</x:v>
      </x:c>
      <x:c r="M62" s="134" t="str">
        <x:f>IF(C62="","",K62*L62)</x:f>
      </x:c>
      <x:c r="N62" s="32" t="str">
        <x:f>IF(C62="","",IF(L62&lt;=0,"CHYBA: CHYBÍ CENA",IF(I62&lt;=0,"CHYBA: CHYBÍ PLOCHA","OK")))</x:f>
      </x:c>
    </x:row>
    <x:row r="63">
      <x:c r="A63" s="39"/>
      <x:c r="B63" s="39"/>
      <x:c r="C63" s="39"/>
      <x:c r="D63" s="128" t="str">
        <x:f>IFERROR(INDEX('02_Cenik_panelu'!$B$7:$B$16,MATCH(C63,'02_Cenik_panelu'!$A$7:$A$16,0)),"")</x:f>
      </x:c>
      <x:c r="E63" s="128" t="str">
        <x:f>IFERROR(INDEX('02_Cenik_panelu'!$C$7:$C$16,MATCH(C63,'02_Cenik_panelu'!$A$7:$A$16,0)),"")</x:f>
      </x:c>
      <x:c r="F63" s="129"/>
      <x:c r="G63" s="129"/>
      <x:c r="H63" s="129"/>
      <x:c r="I63" s="130" t="str">
        <x:f>IF(C63="","",F63*G63*H63)</x:f>
      </x:c>
      <x:c r="J63" s="131" t="n">
        <x:f>IFERROR(INDEX('02_Cenik_panelu'!$K$7:$K$16,MATCH(C63,'02_Cenik_panelu'!$A$7:$A$16,0)),0)</x:f>
        <x:v>0</x:v>
      </x:c>
      <x:c r="K63" s="132" t="str">
        <x:f>IF(C63="","",I63*(1-J63))</x:f>
      </x:c>
      <x:c r="L63" s="133" t="n">
        <x:f>IFERROR(INDEX('02_Cenik_panelu'!$J$7:$J$16,MATCH(C63,'02_Cenik_panelu'!$A$7:$A$16,0)),0)</x:f>
        <x:v>0</x:v>
      </x:c>
      <x:c r="M63" s="134" t="str">
        <x:f>IF(C63="","",K63*L63)</x:f>
      </x:c>
      <x:c r="N63" s="32" t="str">
        <x:f>IF(C63="","",IF(L63&lt;=0,"CHYBA: CHYBÍ CENA",IF(I63&lt;=0,"CHYBA: CHYBÍ PLOCHA","OK")))</x:f>
      </x:c>
    </x:row>
    <x:row r="64">
      <x:c r="A64" s="39"/>
      <x:c r="B64" s="39"/>
      <x:c r="C64" s="39"/>
      <x:c r="D64" s="128" t="str">
        <x:f>IFERROR(INDEX('02_Cenik_panelu'!$B$7:$B$16,MATCH(C64,'02_Cenik_panelu'!$A$7:$A$16,0)),"")</x:f>
      </x:c>
      <x:c r="E64" s="128" t="str">
        <x:f>IFERROR(INDEX('02_Cenik_panelu'!$C$7:$C$16,MATCH(C64,'02_Cenik_panelu'!$A$7:$A$16,0)),"")</x:f>
      </x:c>
      <x:c r="F64" s="129"/>
      <x:c r="G64" s="129"/>
      <x:c r="H64" s="129"/>
      <x:c r="I64" s="130" t="str">
        <x:f>IF(C64="","",F64*G64*H64)</x:f>
      </x:c>
      <x:c r="J64" s="131" t="n">
        <x:f>IFERROR(INDEX('02_Cenik_panelu'!$K$7:$K$16,MATCH(C64,'02_Cenik_panelu'!$A$7:$A$16,0)),0)</x:f>
        <x:v>0</x:v>
      </x:c>
      <x:c r="K64" s="132" t="str">
        <x:f>IF(C64="","",I64*(1-J64))</x:f>
      </x:c>
      <x:c r="L64" s="133" t="n">
        <x:f>IFERROR(INDEX('02_Cenik_panelu'!$J$7:$J$16,MATCH(C64,'02_Cenik_panelu'!$A$7:$A$16,0)),0)</x:f>
        <x:v>0</x:v>
      </x:c>
      <x:c r="M64" s="134" t="str">
        <x:f>IF(C64="","",K64*L64)</x:f>
      </x:c>
      <x:c r="N64" s="32" t="str">
        <x:f>IF(C64="","",IF(L64&lt;=0,"CHYBA: CHYBÍ CENA",IF(I64&lt;=0,"CHYBA: CHYBÍ PLOCHA","OK")))</x:f>
      </x:c>
    </x:row>
    <x:row r="65">
      <x:c r="A65" s="39"/>
      <x:c r="B65" s="39"/>
      <x:c r="C65" s="39"/>
      <x:c r="D65" s="128" t="str">
        <x:f>IFERROR(INDEX('02_Cenik_panelu'!$B$7:$B$16,MATCH(C65,'02_Cenik_panelu'!$A$7:$A$16,0)),"")</x:f>
      </x:c>
      <x:c r="E65" s="128" t="str">
        <x:f>IFERROR(INDEX('02_Cenik_panelu'!$C$7:$C$16,MATCH(C65,'02_Cenik_panelu'!$A$7:$A$16,0)),"")</x:f>
      </x:c>
      <x:c r="F65" s="129"/>
      <x:c r="G65" s="129"/>
      <x:c r="H65" s="129"/>
      <x:c r="I65" s="130" t="str">
        <x:f>IF(C65="","",F65*G65*H65)</x:f>
      </x:c>
      <x:c r="J65" s="131" t="n">
        <x:f>IFERROR(INDEX('02_Cenik_panelu'!$K$7:$K$16,MATCH(C65,'02_Cenik_panelu'!$A$7:$A$16,0)),0)</x:f>
        <x:v>0</x:v>
      </x:c>
      <x:c r="K65" s="132" t="str">
        <x:f>IF(C65="","",I65*(1-J65))</x:f>
      </x:c>
      <x:c r="L65" s="133" t="n">
        <x:f>IFERROR(INDEX('02_Cenik_panelu'!$J$7:$J$16,MATCH(C65,'02_Cenik_panelu'!$A$7:$A$16,0)),0)</x:f>
        <x:v>0</x:v>
      </x:c>
      <x:c r="M65" s="134" t="str">
        <x:f>IF(C65="","",K65*L65)</x:f>
      </x:c>
      <x:c r="N65" s="32" t="str">
        <x:f>IF(C65="","",IF(L65&lt;=0,"CHYBA: CHYBÍ CENA",IF(I65&lt;=0,"CHYBA: CHYBÍ PLOCHA","OK")))</x:f>
      </x:c>
    </x:row>
    <x:row r="66">
      <x:c r="A66" s="39"/>
      <x:c r="B66" s="39"/>
      <x:c r="C66" s="39"/>
      <x:c r="D66" s="128" t="str">
        <x:f>IFERROR(INDEX('02_Cenik_panelu'!$B$7:$B$16,MATCH(C66,'02_Cenik_panelu'!$A$7:$A$16,0)),"")</x:f>
      </x:c>
      <x:c r="E66" s="128" t="str">
        <x:f>IFERROR(INDEX('02_Cenik_panelu'!$C$7:$C$16,MATCH(C66,'02_Cenik_panelu'!$A$7:$A$16,0)),"")</x:f>
      </x:c>
      <x:c r="F66" s="129"/>
      <x:c r="G66" s="129"/>
      <x:c r="H66" s="129"/>
      <x:c r="I66" s="130" t="str">
        <x:f>IF(C66="","",F66*G66*H66)</x:f>
      </x:c>
      <x:c r="J66" s="131" t="n">
        <x:f>IFERROR(INDEX('02_Cenik_panelu'!$K$7:$K$16,MATCH(C66,'02_Cenik_panelu'!$A$7:$A$16,0)),0)</x:f>
        <x:v>0</x:v>
      </x:c>
      <x:c r="K66" s="132" t="str">
        <x:f>IF(C66="","",I66*(1-J66))</x:f>
      </x:c>
      <x:c r="L66" s="133" t="n">
        <x:f>IFERROR(INDEX('02_Cenik_panelu'!$J$7:$J$16,MATCH(C66,'02_Cenik_panelu'!$A$7:$A$16,0)),0)</x:f>
        <x:v>0</x:v>
      </x:c>
      <x:c r="M66" s="134" t="str">
        <x:f>IF(C66="","",K66*L66)</x:f>
      </x:c>
      <x:c r="N66" s="32" t="str">
        <x:f>IF(C66="","",IF(L66&lt;=0,"CHYBA: CHYBÍ CENA",IF(I66&lt;=0,"CHYBA: CHYBÍ PLOCHA","OK")))</x:f>
      </x:c>
    </x:row>
    <x:row r="67">
      <x:c r="A67" s="39"/>
      <x:c r="B67" s="39"/>
      <x:c r="C67" s="39"/>
      <x:c r="D67" s="128" t="str">
        <x:f>IFERROR(INDEX('02_Cenik_panelu'!$B$7:$B$16,MATCH(C67,'02_Cenik_panelu'!$A$7:$A$16,0)),"")</x:f>
      </x:c>
      <x:c r="E67" s="128" t="str">
        <x:f>IFERROR(INDEX('02_Cenik_panelu'!$C$7:$C$16,MATCH(C67,'02_Cenik_panelu'!$A$7:$A$16,0)),"")</x:f>
      </x:c>
      <x:c r="F67" s="129"/>
      <x:c r="G67" s="129"/>
      <x:c r="H67" s="129"/>
      <x:c r="I67" s="130" t="str">
        <x:f>IF(C67="","",F67*G67*H67)</x:f>
      </x:c>
      <x:c r="J67" s="131" t="n">
        <x:f>IFERROR(INDEX('02_Cenik_panelu'!$K$7:$K$16,MATCH(C67,'02_Cenik_panelu'!$A$7:$A$16,0)),0)</x:f>
        <x:v>0</x:v>
      </x:c>
      <x:c r="K67" s="132" t="str">
        <x:f>IF(C67="","",I67*(1-J67))</x:f>
      </x:c>
      <x:c r="L67" s="133" t="n">
        <x:f>IFERROR(INDEX('02_Cenik_panelu'!$J$7:$J$16,MATCH(C67,'02_Cenik_panelu'!$A$7:$A$16,0)),0)</x:f>
        <x:v>0</x:v>
      </x:c>
      <x:c r="M67" s="134" t="str">
        <x:f>IF(C67="","",K67*L67)</x:f>
      </x:c>
      <x:c r="N67" s="32" t="str">
        <x:f>IF(C67="","",IF(L67&lt;=0,"CHYBA: CHYBÍ CENA",IF(I67&lt;=0,"CHYBA: CHYBÍ PLOCHA","OK")))</x:f>
      </x:c>
    </x:row>
    <x:row r="68">
      <x:c r="A68" s="39"/>
      <x:c r="B68" s="39"/>
      <x:c r="C68" s="39"/>
      <x:c r="D68" s="128" t="str">
        <x:f>IFERROR(INDEX('02_Cenik_panelu'!$B$7:$B$16,MATCH(C68,'02_Cenik_panelu'!$A$7:$A$16,0)),"")</x:f>
      </x:c>
      <x:c r="E68" s="128" t="str">
        <x:f>IFERROR(INDEX('02_Cenik_panelu'!$C$7:$C$16,MATCH(C68,'02_Cenik_panelu'!$A$7:$A$16,0)),"")</x:f>
      </x:c>
      <x:c r="F68" s="129"/>
      <x:c r="G68" s="129"/>
      <x:c r="H68" s="129"/>
      <x:c r="I68" s="130" t="str">
        <x:f>IF(C68="","",F68*G68*H68)</x:f>
      </x:c>
      <x:c r="J68" s="131" t="n">
        <x:f>IFERROR(INDEX('02_Cenik_panelu'!$K$7:$K$16,MATCH(C68,'02_Cenik_panelu'!$A$7:$A$16,0)),0)</x:f>
        <x:v>0</x:v>
      </x:c>
      <x:c r="K68" s="132" t="str">
        <x:f>IF(C68="","",I68*(1-J68))</x:f>
      </x:c>
      <x:c r="L68" s="133" t="n">
        <x:f>IFERROR(INDEX('02_Cenik_panelu'!$J$7:$J$16,MATCH(C68,'02_Cenik_panelu'!$A$7:$A$16,0)),0)</x:f>
        <x:v>0</x:v>
      </x:c>
      <x:c r="M68" s="134" t="str">
        <x:f>IF(C68="","",K68*L68)</x:f>
      </x:c>
      <x:c r="N68" s="32" t="str">
        <x:f>IF(C68="","",IF(L68&lt;=0,"CHYBA: CHYBÍ CENA",IF(I68&lt;=0,"CHYBA: CHYBÍ PLOCHA","OK")))</x:f>
      </x:c>
    </x:row>
    <x:row r="69">
      <x:c r="A69" s="39"/>
      <x:c r="B69" s="39"/>
      <x:c r="C69" s="39"/>
      <x:c r="D69" s="128" t="str">
        <x:f>IFERROR(INDEX('02_Cenik_panelu'!$B$7:$B$16,MATCH(C69,'02_Cenik_panelu'!$A$7:$A$16,0)),"")</x:f>
      </x:c>
      <x:c r="E69" s="128" t="str">
        <x:f>IFERROR(INDEX('02_Cenik_panelu'!$C$7:$C$16,MATCH(C69,'02_Cenik_panelu'!$A$7:$A$16,0)),"")</x:f>
      </x:c>
      <x:c r="F69" s="129"/>
      <x:c r="G69" s="129"/>
      <x:c r="H69" s="129"/>
      <x:c r="I69" s="130" t="str">
        <x:f>IF(C69="","",F69*G69*H69)</x:f>
      </x:c>
      <x:c r="J69" s="131" t="n">
        <x:f>IFERROR(INDEX('02_Cenik_panelu'!$K$7:$K$16,MATCH(C69,'02_Cenik_panelu'!$A$7:$A$16,0)),0)</x:f>
        <x:v>0</x:v>
      </x:c>
      <x:c r="K69" s="132" t="str">
        <x:f>IF(C69="","",I69*(1-J69))</x:f>
      </x:c>
      <x:c r="L69" s="133" t="n">
        <x:f>IFERROR(INDEX('02_Cenik_panelu'!$J$7:$J$16,MATCH(C69,'02_Cenik_panelu'!$A$7:$A$16,0)),0)</x:f>
        <x:v>0</x:v>
      </x:c>
      <x:c r="M69" s="134" t="str">
        <x:f>IF(C69="","",K69*L69)</x:f>
      </x:c>
      <x:c r="N69" s="32" t="str">
        <x:f>IF(C69="","",IF(L69&lt;=0,"CHYBA: CHYBÍ CENA",IF(I69&lt;=0,"CHYBA: CHYBÍ PLOCHA","OK")))</x:f>
      </x:c>
    </x:row>
    <x:row r="70">
      <x:c r="A70" s="39"/>
      <x:c r="B70" s="39"/>
      <x:c r="C70" s="39"/>
      <x:c r="D70" s="128" t="str">
        <x:f>IFERROR(INDEX('02_Cenik_panelu'!$B$7:$B$16,MATCH(C70,'02_Cenik_panelu'!$A$7:$A$16,0)),"")</x:f>
      </x:c>
      <x:c r="E70" s="128" t="str">
        <x:f>IFERROR(INDEX('02_Cenik_panelu'!$C$7:$C$16,MATCH(C70,'02_Cenik_panelu'!$A$7:$A$16,0)),"")</x:f>
      </x:c>
      <x:c r="F70" s="129"/>
      <x:c r="G70" s="129"/>
      <x:c r="H70" s="129"/>
      <x:c r="I70" s="130" t="str">
        <x:f>IF(C70="","",F70*G70*H70)</x:f>
      </x:c>
      <x:c r="J70" s="131" t="n">
        <x:f>IFERROR(INDEX('02_Cenik_panelu'!$K$7:$K$16,MATCH(C70,'02_Cenik_panelu'!$A$7:$A$16,0)),0)</x:f>
        <x:v>0</x:v>
      </x:c>
      <x:c r="K70" s="132" t="str">
        <x:f>IF(C70="","",I70*(1-J70))</x:f>
      </x:c>
      <x:c r="L70" s="133" t="n">
        <x:f>IFERROR(INDEX('02_Cenik_panelu'!$J$7:$J$16,MATCH(C70,'02_Cenik_panelu'!$A$7:$A$16,0)),0)</x:f>
        <x:v>0</x:v>
      </x:c>
      <x:c r="M70" s="134" t="str">
        <x:f>IF(C70="","",K70*L70)</x:f>
      </x:c>
      <x:c r="N70" s="32" t="str">
        <x:f>IF(C70="","",IF(L70&lt;=0,"CHYBA: CHYBÍ CENA",IF(I70&lt;=0,"CHYBA: CHYBÍ PLOCHA","OK")))</x:f>
      </x:c>
    </x:row>
  </x:sheetData>
  <x:mergeCells>
    <x:mergeCell ref="A1:N1"/>
    <x:mergeCell ref="A2:N2"/>
    <x:mergeCell ref="B3:D3"/>
    <x:mergeCell ref="B4:D4"/>
    <x:mergeCell ref="F4:J4"/>
    <x:mergeCell ref="K4:N4"/>
    <x:mergeCell ref="A6:N6"/>
    <x:mergeCell ref="G7:N7"/>
    <x:mergeCell ref="G8:N9"/>
    <x:mergeCell ref="G11:N14"/>
    <x:mergeCell ref="A16:N17"/>
  </x:mergeCells>
  <x:conditionalFormatting sqref="F4:J4">
    <x:cfRule type="containsText" dxfId="0" priority="1" operator="containsText" text="CHYBA"/>
    <x:cfRule type="containsText" dxfId="1" priority="2" operator="containsText" text="MIMO"/>
    <x:cfRule type="containsText" dxfId="2" priority="3" operator="containsText" text="CHYBÍ"/>
    <x:cfRule type="containsText" dxfId="3" priority="4" operator="containsText" text="PŘEDBĚŽNÁ"/>
    <x:cfRule type="containsText" dxfId="4" priority="5" operator="containsText" text="OK"/>
  </x:conditionalFormatting>
  <x:conditionalFormatting sqref="N21:N70">
    <x:cfRule type="containsText" dxfId="5" priority="6" operator="containsText" text="CHYBA"/>
    <x:cfRule type="containsText" dxfId="6" priority="7" operator="containsText" text="MIMO"/>
    <x:cfRule type="containsText" dxfId="7" priority="8" operator="containsText" text="CHYBÍ"/>
    <x:cfRule type="containsText" dxfId="8" priority="9" operator="containsText" text="PŘEDBĚŽNÁ"/>
    <x:cfRule type="containsText" dxfId="9" priority="10" operator="containsText" text="OK"/>
  </x:conditionalFormatting>
  <x:dataValidations count="5">
    <x:dataValidation type="decimal" operator="between" sqref="F3">
      <x:formula1>80</x:formula1>
      <x:formula2>500</x:formula2>
    </x:dataValidation>
    <x:dataValidation type="whole" operator="between" sqref="H3">
      <x:formula1>1</x:formula1>
      <x:formula2>5</x:formula2>
    </x:dataValidation>
    <x:dataValidation type="list" sqref="J3">
      <x:formula1>"Podrobná dokumentace,Standardní dokumentace,Zjednodušené schéma"</x:formula1>
    </x:dataValidation>
    <x:dataValidation type="list" sqref="C21:C70">
      <x:formula1>"OS_VF_01,OS_VF_02,OS_VF_03,NS_VF_01,DS_VF_01,PODLAHA_1NP,STROP_RD,STROP_BD,STRECHA_SIKMA,STRECHA_PLOCHA"</x:formula1>
    </x:dataValidation>
    <x:dataValidation type="decimal" operator="between" sqref="F21:H70">
      <x:formula1>0</x:formula1>
      <x:formula2>100000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304b0aeca364e3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0" hidden="0" customWidth="1"/>
    <x:col min="3" max="3" width="20" hidden="0" customWidth="1"/>
    <x:col min="4" max="4" width="12" hidden="0" customWidth="1"/>
    <x:col min="5" max="5" width="25" hidden="0" customWidth="1"/>
    <x:col min="6" max="6" width="20" hidden="0" customWidth="1"/>
    <x:col min="7" max="7" width="17" hidden="0" customWidth="1"/>
    <x:col min="8" max="8" width="19" hidden="0" customWidth="1"/>
    <x:col min="9" max="9" width="17" hidden="0" customWidth="1"/>
    <x:col min="10" max="10" width="19" hidden="0" customWidth="1"/>
    <x:col min="11" max="11" width="18" hidden="0" customWidth="1"/>
    <x:col min="12" max="12" width="11" hidden="0" customWidth="1"/>
    <x:col min="13" max="13" width="42" hidden="0" customWidth="1"/>
  </x:cols>
  <x:sheetData>
    <x:row r="1" ht="34" customHeight="1">
      <x:c r="A1" s="3" t="str">
        <x:v>Jednoduchý benchmarkový ceník panelů</x:v>
      </x:c>
      <x:c r="B1" s="3" t="str">
        <x:v>Jednoduchý benchmarkový ceník panelů</x:v>
      </x:c>
      <x:c r="C1" s="3" t="str">
        <x:v>Jednoduchý benchmarkový ceník panelů</x:v>
      </x:c>
      <x:c r="D1" s="3" t="str">
        <x:v>Jednoduchý benchmarkový ceník panelů</x:v>
      </x:c>
      <x:c r="E1" s="3" t="str">
        <x:v>Jednoduchý benchmarkový ceník panelů</x:v>
      </x:c>
      <x:c r="F1" s="3" t="str">
        <x:v>Jednoduchý benchmarkový ceník panelů</x:v>
      </x:c>
      <x:c r="G1" s="3" t="str">
        <x:v>Jednoduchý benchmarkový ceník panelů</x:v>
      </x:c>
      <x:c r="H1" s="3" t="str">
        <x:v>Jednoduchý benchmarkový ceník panelů</x:v>
      </x:c>
      <x:c r="I1" s="3" t="str">
        <x:v>Jednoduchý benchmarkový ceník panelů</x:v>
      </x:c>
      <x:c r="J1" s="3" t="str">
        <x:v>Jednoduchý benchmarkový ceník panelů</x:v>
      </x:c>
      <x:c r="K1" s="3" t="str">
        <x:v>Jednoduchý benchmarkový ceník panelů</x:v>
      </x:c>
      <x:c r="L1" s="3" t="str">
        <x:v>Jednoduchý benchmarkový ceník panelů</x:v>
      </x:c>
      <x:c r="M1" s="3" t="str">
        <x:v>Jednoduchý benchmarkový ceník panelů</x:v>
      </x:c>
    </x:row>
    <x:row r="2">
      <x:c r="A2" s="7" t="str">
        <x:v>Výrobce upravuje pouze žluté buňky: obchodní koeficient, ruční cenu a standardní odpočet otvorů. Publikovaná cena se automaticky propíše do kalkulace i košíku.</x:v>
      </x:c>
      <x:c r="B2" s="7" t="str">
        <x:v>Výrobce upravuje pouze žluté buňky: obchodní koeficient, ruční cenu a standardní odpočet otvorů. Publikovaná cena se automaticky propíše do kalkulace i košíku.</x:v>
      </x:c>
      <x:c r="C2" s="7" t="str">
        <x:v>Výrobce upravuje pouze žluté buňky: obchodní koeficient, ruční cenu a standardní odpočet otvorů. Publikovaná cena se automaticky propíše do kalkulace i košíku.</x:v>
      </x:c>
      <x:c r="D2" s="7" t="str">
        <x:v>Výrobce upravuje pouze žluté buňky: obchodní koeficient, ruční cenu a standardní odpočet otvorů. Publikovaná cena se automaticky propíše do kalkulace i košíku.</x:v>
      </x:c>
      <x:c r="E2" s="7" t="str">
        <x:v>Výrobce upravuje pouze žluté buňky: obchodní koeficient, ruční cenu a standardní odpočet otvorů. Publikovaná cena se automaticky propíše do kalkulace i košíku.</x:v>
      </x:c>
      <x:c r="F2" s="7" t="str">
        <x:v>Výrobce upravuje pouze žluté buňky: obchodní koeficient, ruční cenu a standardní odpočet otvorů. Publikovaná cena se automaticky propíše do kalkulace i košíku.</x:v>
      </x:c>
      <x:c r="G2" s="7" t="str">
        <x:v>Výrobce upravuje pouze žluté buňky: obchodní koeficient, ruční cenu a standardní odpočet otvorů. Publikovaná cena se automaticky propíše do kalkulace i košíku.</x:v>
      </x:c>
      <x:c r="H2" s="7" t="str">
        <x:v>Výrobce upravuje pouze žluté buňky: obchodní koeficient, ruční cenu a standardní odpočet otvorů. Publikovaná cena se automaticky propíše do kalkulace i košíku.</x:v>
      </x:c>
      <x:c r="I2" s="7" t="str">
        <x:v>Výrobce upravuje pouze žluté buňky: obchodní koeficient, ruční cenu a standardní odpočet otvorů. Publikovaná cena se automaticky propíše do kalkulace i košíku.</x:v>
      </x:c>
      <x:c r="J2" s="7" t="str">
        <x:v>Výrobce upravuje pouze žluté buňky: obchodní koeficient, ruční cenu a standardní odpočet otvorů. Publikovaná cena se automaticky propíše do kalkulace i košíku.</x:v>
      </x:c>
      <x:c r="K2" s="7" t="str">
        <x:v>Výrobce upravuje pouze žluté buňky: obchodní koeficient, ruční cenu a standardní odpočet otvorů. Publikovaná cena se automaticky propíše do kalkulace i košíku.</x:v>
      </x:c>
      <x:c r="L2" s="7" t="str">
        <x:v>Výrobce upravuje pouze žluté buňky: obchodní koeficient, ruční cenu a standardní odpočet otvorů. Publikovaná cena se automaticky propíše do kalkulace i košíku.</x:v>
      </x:c>
      <x:c r="M2" s="7" t="str">
        <x:v>Výrobce upravuje pouze žluté buňky: obchodní koeficient, ruční cenu a standardní odpočet otvorů. Publikovaná cena se automaticky propíše do kalkulace i košíku.</x:v>
      </x:c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</x:row>
    <x:row r="4" ht="25" customHeight="1">
      <x:c r="A4" s="10" t="str">
        <x:v>Ceník bez DPH za 1 m² započitatelné plochy</x:v>
      </x:c>
      <x:c r="B4" s="10" t="str">
        <x:v>Ceník bez DPH za 1 m² započitatelné plochy</x:v>
      </x:c>
      <x:c r="C4" s="10" t="str">
        <x:v>Ceník bez DPH za 1 m² započitatelné plochy</x:v>
      </x:c>
      <x:c r="D4" s="10" t="str">
        <x:v>Ceník bez DPH za 1 m² započitatelné plochy</x:v>
      </x:c>
      <x:c r="E4" s="10" t="str">
        <x:v>Ceník bez DPH za 1 m² započitatelné plochy</x:v>
      </x:c>
      <x:c r="F4" s="10" t="str">
        <x:v>Ceník bez DPH za 1 m² započitatelné plochy</x:v>
      </x:c>
      <x:c r="G4" s="10" t="str">
        <x:v>Ceník bez DPH za 1 m² započitatelné plochy</x:v>
      </x:c>
      <x:c r="H4" s="10" t="str">
        <x:v>Ceník bez DPH za 1 m² započitatelné plochy</x:v>
      </x:c>
      <x:c r="I4" s="10" t="str">
        <x:v>Ceník bez DPH za 1 m² započitatelné plochy</x:v>
      </x:c>
      <x:c r="J4" s="10" t="str">
        <x:v>Ceník bez DPH za 1 m² započitatelné plochy</x:v>
      </x:c>
      <x:c r="K4" s="10" t="str">
        <x:v>Ceník bez DPH za 1 m² započitatelné plochy</x:v>
      </x:c>
      <x:c r="L4" s="10" t="str">
        <x:v>Ceník bez DPH za 1 m² započitatelné plochy</x:v>
      </x:c>
      <x:c r="M4" s="10" t="str">
        <x:v>Ceník bez DPH za 1 m² započitatelné plochy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</x:row>
    <x:row r="6">
      <x:c r="A6" s="21" t="str">
        <x:v>catalogId</x:v>
      </x:c>
      <x:c r="B6" s="22" t="str">
        <x:v>Název panelu</x:v>
      </x:c>
      <x:c r="C6" s="22" t="str">
        <x:v>Kategorie</x:v>
      </x:c>
      <x:c r="D6" s="22" t="str">
        <x:v>Tloušťka mm</x:v>
      </x:c>
      <x:c r="E6" s="22" t="str">
        <x:v>Benchmark</x:v>
      </x:c>
      <x:c r="F6" s="22" t="str">
        <x:v>Pořizovací benchmark Kč/m²</x:v>
      </x:c>
      <x:c r="G6" s="22" t="str">
        <x:v>Obchodní koeficient</x:v>
      </x:c>
      <x:c r="H6" s="22" t="str">
        <x:v>Cena z benchmarku Kč/m²</x:v>
      </x:c>
      <x:c r="I6" s="22" t="str">
        <x:v>Ruční cena Kč/m²</x:v>
      </x:c>
      <x:c r="J6" s="22" t="str">
        <x:v>Publikovaná cena Kč/m²</x:v>
      </x:c>
      <x:c r="K6" s="22" t="str">
        <x:v>Standardní odpočet otvorů</x:v>
      </x:c>
      <x:c r="L6" s="22" t="str">
        <x:v>Aktivní</x:v>
      </x:c>
      <x:c r="M6" s="23" t="str">
        <x:v>Poznámka</x:v>
      </x:c>
    </x:row>
    <x:row r="7">
      <x:c r="A7" s="32" t="str">
        <x:v>OS_VF_01</x:v>
      </x:c>
      <x:c r="B7" s="33" t="str">
        <x:v>Obvodový stěnový panel s kontaktní omítkovou fasádou</x:v>
      </x:c>
      <x:c r="C7" s="32" t="str">
        <x:v>Obvodová stěna</x:v>
      </x:c>
      <x:c r="D7" s="34" t="n">
        <x:v>358.5</x:v>
      </x:c>
      <x:c r="E7" s="32" t="str">
        <x:v>NEM.EKOWOOD</x:v>
      </x:c>
      <x:c r="F7" s="35" t="n">
        <x:v>8451.81</x:v>
      </x:c>
      <x:c r="G7" s="36" t="n">
        <x:v>1.01</x:v>
      </x:c>
      <x:c r="H7" s="35" t="n">
        <x:f>IF(F7&gt;0,ROUND(F7*G7,-2),0)</x:f>
        <x:v>8500</x:v>
      </x:c>
      <x:c r="I7" s="37" t="n">
        <x:v>0</x:v>
      </x:c>
      <x:c r="J7" s="35" t="n">
        <x:f>IF(I7&gt;0,I7,H7)</x:f>
        <x:v>8500</x:v>
      </x:c>
      <x:c r="K7" s="38" t="n">
        <x:v>0.15</x:v>
      </x:c>
      <x:c r="L7" s="39" t="str">
        <x:v>ANO</x:v>
      </x:c>
      <x:c r="M7" s="33" t="str">
        <x:v>Základní omítková fasáda</x:v>
      </x:c>
    </x:row>
    <x:row r="8">
      <x:c r="A8" s="32" t="str">
        <x:v>OS_VF_02</x:v>
      </x:c>
      <x:c r="B8" s="33" t="str">
        <x:v>Obvodový stěnový panel s provětrávaným modřínovým obkladem</x:v>
      </x:c>
      <x:c r="C8" s="32" t="str">
        <x:v>Obvodová stěna</x:v>
      </x:c>
      <x:c r="D8" s="34" t="n">
        <x:v>431</x:v>
      </x:c>
      <x:c r="E8" s="32" t="str">
        <x:v>NEM.EKOBIGWOODFIRE</x:v>
      </x:c>
      <x:c r="F8" s="35" t="n">
        <x:v>10238.04</x:v>
      </x:c>
      <x:c r="G8" s="36" t="n">
        <x:v>1.03</x:v>
      </x:c>
      <x:c r="H8" s="35" t="n">
        <x:f>IF(F8&gt;0,ROUND(F8*G8,-2),0)</x:f>
        <x:v>10500</x:v>
      </x:c>
      <x:c r="I8" s="37" t="n">
        <x:v>0</x:v>
      </x:c>
      <x:c r="J8" s="35" t="n">
        <x:f>IF(I8&gt;0,I8,H8)</x:f>
        <x:v>10500</x:v>
      </x:c>
      <x:c r="K8" s="38" t="n">
        <x:v>0.15</x:v>
      </x:c>
      <x:c r="L8" s="39" t="str">
        <x:v>ANO</x:v>
      </x:c>
      <x:c r="M8" s="33" t="str">
        <x:v>Dřevěný obklad; požární benchmark</x:v>
      </x:c>
    </x:row>
    <x:row r="9">
      <x:c r="A9" s="32" t="str">
        <x:v>OS_VF_03</x:v>
      </x:c>
      <x:c r="B9" s="33" t="str">
        <x:v>Obvodový stěnový panel s ocelovou DP1 konstrukcí</x:v>
      </x:c>
      <x:c r="C9" s="32" t="str">
        <x:v>Obvodová stěna</x:v>
      </x:c>
      <x:c r="D9" s="34" t="n">
        <x:v>368.5</x:v>
      </x:c>
      <x:c r="E9" s="32" t="str">
        <x:v>NEM.EKOBIGFIRE</x:v>
      </x:c>
      <x:c r="F9" s="35" t="n">
        <x:v>8682.3</x:v>
      </x:c>
      <x:c r="G9" s="36" t="n">
        <x:v>1.04</x:v>
      </x:c>
      <x:c r="H9" s="35" t="n">
        <x:f>IF(F9&gt;0,ROUND(F9*G9,-2),0)</x:f>
        <x:v>9000</x:v>
      </x:c>
      <x:c r="I9" s="37" t="n">
        <x:v>0</x:v>
      </x:c>
      <x:c r="J9" s="35" t="n">
        <x:f>IF(I9&gt;0,I9,H9)</x:f>
        <x:v>9000</x:v>
      </x:c>
      <x:c r="K9" s="38" t="n">
        <x:v>0.15</x:v>
      </x:c>
      <x:c r="L9" s="39" t="str">
        <x:v>ANO</x:v>
      </x:c>
      <x:c r="M9" s="33" t="str">
        <x:v>Orientační benchmark, bez přímého ekvivalentu</x:v>
      </x:c>
    </x:row>
    <x:row r="10">
      <x:c r="A10" s="32" t="str">
        <x:v>NS_VF_01</x:v>
      </x:c>
      <x:c r="B10" s="33" t="str">
        <x:v>Vnitřní nosný stěnový panel</x:v>
      </x:c>
      <x:c r="C10" s="32" t="str">
        <x:v>Vnitřní stěna</x:v>
      </x:c>
      <x:c r="D10" s="34" t="n">
        <x:v>170</x:v>
      </x:c>
      <x:c r="E10" s="32" t="str">
        <x:v>PMA.P3</x:v>
      </x:c>
      <x:c r="F10" s="35" t="n">
        <x:v>2455.57</x:v>
      </x:c>
      <x:c r="G10" s="36" t="n">
        <x:v>1.43</x:v>
      </x:c>
      <x:c r="H10" s="35" t="n">
        <x:f>IF(F10&gt;0,ROUND(F10*G10,-2),0)</x:f>
        <x:v>3500</x:v>
      </x:c>
      <x:c r="I10" s="37" t="n">
        <x:v>0</x:v>
      </x:c>
      <x:c r="J10" s="35" t="n">
        <x:f>IF(I10&gt;0,I10,H10)</x:f>
        <x:v>3500</x:v>
      </x:c>
      <x:c r="K10" s="38" t="n">
        <x:v>0.1</x:v>
      </x:c>
      <x:c r="L10" s="39" t="str">
        <x:v>ANO</x:v>
      </x:c>
      <x:c r="M10" s="33" t="str">
        <x:v>Benchmarková dolní kotva</x:v>
      </x:c>
    </x:row>
    <x:row r="11">
      <x:c r="A11" s="32" t="str">
        <x:v>DS_VF_01</x:v>
      </x:c>
      <x:c r="B11" s="33" t="str">
        <x:v>Akustický mezibytový dělící panel</x:v>
      </x:c>
      <x:c r="C11" s="32" t="str">
        <x:v>Vnitřní stěna</x:v>
      </x:c>
      <x:c r="D11" s="34" t="n">
        <x:v>300</x:v>
      </x:c>
      <x:c r="E11" s="32" t="str">
        <x:v>PMA.P6</x:v>
      </x:c>
      <x:c r="F11" s="35" t="n">
        <x:v>4521.5</x:v>
      </x:c>
      <x:c r="G11" s="36" t="n">
        <x:v>1.22</x:v>
      </x:c>
      <x:c r="H11" s="35" t="n">
        <x:f>IF(F11&gt;0,ROUND(F11*G11,-2),0)</x:f>
        <x:v>5500</x:v>
      </x:c>
      <x:c r="I11" s="37" t="n">
        <x:v>0</x:v>
      </x:c>
      <x:c r="J11" s="35" t="n">
        <x:f>IF(I11&gt;0,I11,H11)</x:f>
        <x:v>5500</x:v>
      </x:c>
      <x:c r="K11" s="38" t="n">
        <x:v>0.1</x:v>
      </x:c>
      <x:c r="L11" s="39" t="str">
        <x:v>ANO</x:v>
      </x:c>
      <x:c r="M11" s="33" t="str">
        <x:v>PMA.P5 tvoří horní srovnávací kotvu</x:v>
      </x:c>
    </x:row>
    <x:row r="12">
      <x:c r="A12" s="32" t="str">
        <x:v>PODLAHA_1NP</x:v>
      </x:c>
      <x:c r="B12" s="33" t="str">
        <x:v>Podlahový panel 1. NP s podlahovým vytápěním</x:v>
      </x:c>
      <x:c r="C12" s="32" t="str">
        <x:v>Strop / podlaha</x:v>
      </x:c>
      <x:c r="D12" s="34" t="n">
        <x:v>220.1</x:v>
      </x:c>
      <x:c r="E12" s="32" t="str"/>
      <x:c r="F12" s="35" t="n">
        <x:v>0</x:v>
      </x:c>
      <x:c r="G12" s="36" t="n">
        <x:v>1</x:v>
      </x:c>
      <x:c r="H12" s="35" t="n">
        <x:f>IF(F12&gt;0,ROUND(F12*G12,-2),0)</x:f>
        <x:v>0</x:v>
      </x:c>
      <x:c r="I12" s="37" t="n">
        <x:v>3500</x:v>
      </x:c>
      <x:c r="J12" s="35" t="n">
        <x:f>IF(I12&gt;0,I12,H12)</x:f>
        <x:v>3500</x:v>
      </x:c>
      <x:c r="K12" s="38" t="n">
        <x:v>0.05</x:v>
      </x:c>
      <x:c r="L12" s="39" t="str">
        <x:v>ANO</x:v>
      </x:c>
      <x:c r="M12" s="33" t="str">
        <x:v>Bez přímého benchmarku; dočasná ruční cena</x:v>
      </x:c>
    </x:row>
    <x:row r="13">
      <x:c r="A13" s="32" t="str">
        <x:v>STROP_RD</x:v>
      </x:c>
      <x:c r="B13" s="33" t="str">
        <x:v>Mezipodlažní stropní panel pro rodinné domy</x:v>
      </x:c>
      <x:c r="C13" s="32" t="str">
        <x:v>Strop / podlaha</x:v>
      </x:c>
      <x:c r="D13" s="34" t="n">
        <x:v>432</x:v>
      </x:c>
      <x:c r="E13" s="32" t="str">
        <x:v>PMA.C2A</x:v>
      </x:c>
      <x:c r="F13" s="35" t="n">
        <x:v>6019.06</x:v>
      </x:c>
      <x:c r="G13" s="36" t="n">
        <x:v>1</x:v>
      </x:c>
      <x:c r="H13" s="35" t="n">
        <x:f>IF(F13&gt;0,ROUND(F13*G13,-2),0)</x:f>
        <x:v>6000</x:v>
      </x:c>
      <x:c r="I13" s="37" t="n">
        <x:v>0</x:v>
      </x:c>
      <x:c r="J13" s="35" t="n">
        <x:f>IF(I13&gt;0,I13,H13)</x:f>
        <x:v>6000</x:v>
      </x:c>
      <x:c r="K13" s="38" t="n">
        <x:v>0.05</x:v>
      </x:c>
      <x:c r="L13" s="39" t="str">
        <x:v>ANO</x:v>
      </x:c>
      <x:c r="M13" s="33" t="str">
        <x:v>Těsná benchmarková shoda</x:v>
      </x:c>
    </x:row>
    <x:row r="14">
      <x:c r="A14" s="32" t="str">
        <x:v>STROP_BD</x:v>
      </x:c>
      <x:c r="B14" s="33" t="str">
        <x:v>Akustický mezipodlažní stropní panel pro bytové domy</x:v>
      </x:c>
      <x:c r="C14" s="32" t="str">
        <x:v>Strop / podlaha</x:v>
      </x:c>
      <x:c r="D14" s="34" t="n">
        <x:v>492</x:v>
      </x:c>
      <x:c r="E14" s="32" t="str">
        <x:v>PMA.C2B</x:v>
      </x:c>
      <x:c r="F14" s="35" t="n">
        <x:v>6667.45</x:v>
      </x:c>
      <x:c r="G14" s="36" t="n">
        <x:v>1.125</x:v>
      </x:c>
      <x:c r="H14" s="35" t="n">
        <x:f>IF(F14&gt;0,ROUND(F14*G14,-2),0)</x:f>
        <x:v>7500</x:v>
      </x:c>
      <x:c r="I14" s="37" t="n">
        <x:v>0</x:v>
      </x:c>
      <x:c r="J14" s="35" t="n">
        <x:f>IF(I14&gt;0,I14,H14)</x:f>
        <x:v>7500</x:v>
      </x:c>
      <x:c r="K14" s="38" t="n">
        <x:v>0.05</x:v>
      </x:c>
      <x:c r="L14" s="39" t="str">
        <x:v>ANO</x:v>
      </x:c>
      <x:c r="M14" s="33" t="str">
        <x:v>Benchmark s příplatkem za vyšší rozsah</x:v>
      </x:c>
    </x:row>
    <x:row r="15">
      <x:c r="A15" s="32" t="str">
        <x:v>STRECHA_SIKMA</x:v>
      </x:c>
      <x:c r="B15" s="33" t="str">
        <x:v>Panel šikmé střechy s falcovanou krytinou</x:v>
      </x:c>
      <x:c r="C15" s="32" t="str">
        <x:v>Střecha</x:v>
      </x:c>
      <x:c r="D15" s="34" t="n">
        <x:v>455</x:v>
      </x:c>
      <x:c r="E15" s="32" t="str">
        <x:v>NEM.ROOF</x:v>
      </x:c>
      <x:c r="F15" s="35" t="n">
        <x:v>6196.76</x:v>
      </x:c>
      <x:c r="G15" s="36" t="n">
        <x:v>1.05</x:v>
      </x:c>
      <x:c r="H15" s="35" t="n">
        <x:f>IF(F15&gt;0,ROUND(F15*G15,-2),0)</x:f>
        <x:v>6500</x:v>
      </x:c>
      <x:c r="I15" s="37" t="n">
        <x:v>0</x:v>
      </x:c>
      <x:c r="J15" s="35" t="n">
        <x:f>IF(I15&gt;0,I15,H15)</x:f>
        <x:v>6500</x:v>
      </x:c>
      <x:c r="K15" s="38" t="n">
        <x:v>0.05</x:v>
      </x:c>
      <x:c r="L15" s="39" t="str">
        <x:v>ANO</x:v>
      </x:c>
      <x:c r="M15" s="33" t="str">
        <x:v>Kompletní šikmá střecha</x:v>
      </x:c>
    </x:row>
    <x:row r="16">
      <x:c r="A16" s="32" t="str">
        <x:v>STRECHA_PLOCHA</x:v>
      </x:c>
      <x:c r="B16" s="33" t="str">
        <x:v>Panel ploché střechy s mPVC fólií a spádováním</x:v>
      </x:c>
      <x:c r="C16" s="32" t="str">
        <x:v>Střecha</x:v>
      </x:c>
      <x:c r="D16" s="34" t="n">
        <x:v>564.5</x:v>
      </x:c>
      <x:c r="E16" s="32" t="str">
        <x:v>NEM.ROOFPASIV</x:v>
      </x:c>
      <x:c r="F16" s="35" t="n">
        <x:v>7122.2</x:v>
      </x:c>
      <x:c r="G16" s="36" t="n">
        <x:v>0.98</x:v>
      </x:c>
      <x:c r="H16" s="35" t="n">
        <x:f>IF(F16&gt;0,ROUND(F16*G16,-2),0)</x:f>
        <x:v>7000</x:v>
      </x:c>
      <x:c r="I16" s="37" t="n">
        <x:v>0</x:v>
      </x:c>
      <x:c r="J16" s="35" t="n">
        <x:f>IF(I16&gt;0,I16,H16)</x:f>
        <x:v>7000</x:v>
      </x:c>
      <x:c r="K16" s="38" t="n">
        <x:v>0.05</x:v>
      </x:c>
      <x:c r="L16" s="39" t="str">
        <x:v>ANO</x:v>
      </x:c>
      <x:c r="M16" s="33" t="str">
        <x:v>Kompletní plochá střecha</x:v>
      </x:c>
    </x:row>
  </x:sheetData>
  <x:mergeCells>
    <x:mergeCell ref="A1:M1"/>
    <x:mergeCell ref="A2:M2"/>
    <x:mergeCell ref="A4:M4"/>
  </x:mergeCells>
  <x:dataValidations count="1">
    <x:dataValidation type="list" sqref="L7:L16">
      <x:formula1>"ANO,NE"</x:formula1>
    </x:dataValidation>
  </x:dataValidations>
  <x:pageMargins left="0.7" right="0.7" top="0.75" bottom="0.75" header="0.3" footer="0.3"/>
  <x:legacyDrawing xmlns:r="http://schemas.openxmlformats.org/officeDocument/2006/relationships" r:id="Rdf79b9b6447c46de"/>
  <x:tableParts count="1">
    <x:tablePart xmlns:r="http://schemas.openxmlformats.org/officeDocument/2006/relationships" r:id="R7fe71092e70b4f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34" hidden="0" customWidth="1"/>
    <x:col min="5" max="5" width="15" hidden="0" customWidth="1"/>
    <x:col min="6" max="6" width="54" hidden="0" customWidth="1"/>
  </x:cols>
  <x:sheetData>
    <x:row r="1" ht="34" customHeight="1">
      <x:c r="A1" s="3" t="str">
        <x:v>Pilotní sazby kompletní dodávky</x:v>
      </x:c>
      <x:c r="B1" s="3" t="str">
        <x:v>Pilotní sazby kompletní dodávky</x:v>
      </x:c>
      <x:c r="C1" s="3" t="str">
        <x:v>Pilotní sazby kompletní dodávky</x:v>
      </x:c>
      <x:c r="D1" s="3" t="str">
        <x:v>Pilotní sazby kompletní dodávky</x:v>
      </x:c>
      <x:c r="E1" s="3" t="str">
        <x:v>Pilotní sazby kompletní dodávky</x:v>
      </x:c>
      <x:c r="F1" s="3" t="str">
        <x:v>Pilotní sazby kompletní dodávky</x:v>
      </x:c>
    </x:row>
    <x:row r="2">
      <x:c r="A2" s="7" t="str">
        <x:v>Tyto sazby nejsou výpočtem skutečných nákladů. Jsou to snadno upravitelné pilotní obchodní předpoklady pro rychlou předobjednávku a musí se průběžně kalibrovat na realizovaných projektech.</x:v>
      </x:c>
      <x:c r="B2" s="7" t="str">
        <x:v>Tyto sazby nejsou výpočtem skutečných nákladů. Jsou to snadno upravitelné pilotní obchodní předpoklady pro rychlou předobjednávku a musí se průběžně kalibrovat na realizovaných projektech.</x:v>
      </x:c>
      <x:c r="C2" s="7" t="str">
        <x:v>Tyto sazby nejsou výpočtem skutečných nákladů. Jsou to snadno upravitelné pilotní obchodní předpoklady pro rychlou předobjednávku a musí se průběžně kalibrovat na realizovaných projektech.</x:v>
      </x:c>
      <x:c r="D2" s="7" t="str">
        <x:v>Tyto sazby nejsou výpočtem skutečných nákladů. Jsou to snadno upravitelné pilotní obchodní předpoklady pro rychlou předobjednávku a musí se průběžně kalibrovat na realizovaných projektech.</x:v>
      </x:c>
      <x:c r="E2" s="7" t="str">
        <x:v>Tyto sazby nejsou výpočtem skutečných nákladů. Jsou to snadno upravitelné pilotní obchodní předpoklady pro rychlou předobjednávku a musí se průběžně kalibrovat na realizovaných projektech.</x:v>
      </x:c>
      <x:c r="F2" s="7" t="str">
        <x:v>Tyto sazby nejsou výpočtem skutečných nákladů. Jsou to snadno upravitelné pilotní obchodní předpoklady pro rychlou předobjednávku a musí se průběžně kalibrovat na realizovaných projektech.</x:v>
      </x:c>
    </x:row>
    <x:row r="3">
      <x:c r="A3" s="32"/>
      <x:c r="B3" s="32"/>
      <x:c r="C3" s="32"/>
      <x:c r="D3" s="32"/>
      <x:c r="E3" s="32"/>
      <x:c r="F3" s="32"/>
    </x:row>
    <x:row r="4" ht="25" customHeight="1">
      <x:c r="A4" s="10" t="str">
        <x:v>Služby a logistika</x:v>
      </x:c>
      <x:c r="B4" s="10" t="str">
        <x:v>Služby a logistika</x:v>
      </x:c>
      <x:c r="C4" s="10" t="str">
        <x:v>Služby a logistika</x:v>
      </x:c>
      <x:c r="D4" s="10" t="str">
        <x:v>Služby a logistika</x:v>
      </x:c>
      <x:c r="E4" s="10" t="str">
        <x:v>Služby a logistika</x:v>
      </x:c>
      <x:c r="F4" s="10" t="str">
        <x:v>Služby a logistika</x:v>
      </x:c>
    </x:row>
    <x:row r="5">
      <x:c r="A5" s="32"/>
      <x:c r="B5" s="32"/>
      <x:c r="C5" s="32"/>
      <x:c r="D5" s="32"/>
      <x:c r="E5" s="32"/>
      <x:c r="F5" s="32"/>
    </x:row>
    <x:row r="6">
      <x:c r="A6" s="21" t="str">
        <x:v>Klíč</x:v>
      </x:c>
      <x:c r="B6" s="22" t="str">
        <x:v>Hodnota</x:v>
      </x:c>
      <x:c r="C6" s="22" t="str">
        <x:v>Jednotka</x:v>
      </x:c>
      <x:c r="D6" s="22" t="str">
        <x:v>Zobrazený název</x:v>
      </x:c>
      <x:c r="E6" s="22" t="str">
        <x:v>Stav</x:v>
      </x:c>
      <x:c r="F6" s="23" t="str">
        <x:v>Poznámka</x:v>
      </x:c>
    </x:row>
    <x:row r="7">
      <x:c r="A7" s="32" t="str">
        <x:v>vatPct</x:v>
      </x:c>
      <x:c r="B7" s="38" t="n">
        <x:v>0.21</x:v>
      </x:c>
      <x:c r="C7" s="32" t="str">
        <x:v>%</x:v>
      </x:c>
      <x:c r="D7" s="32" t="str">
        <x:v>DPH</x:v>
      </x:c>
      <x:c r="E7" s="32" t="str">
        <x:v>PILOT</x:v>
      </x:c>
      <x:c r="F7" s="32" t="str">
        <x:v>Používá se pouze pro zákaznický souhrn.</x:v>
      </x:c>
    </x:row>
    <x:row r="8">
      <x:c r="A8" s="32" t="str">
        <x:v>assemblyPct</x:v>
      </x:c>
      <x:c r="B8" s="38" t="n">
        <x:v>0.18</x:v>
      </x:c>
      <x:c r="C8" s="32" t="str">
        <x:v>% z panelů</x:v>
      </x:c>
      <x:c r="D8" s="32" t="str">
        <x:v>Montáž hrubé stavby</x:v>
      </x:c>
      <x:c r="E8" s="32" t="str">
        <x:v>PILOT</x:v>
      </x:c>
      <x:c r="F8" s="32" t="str">
        <x:v>Dočasná procentní sazba z hodnoty panelových konstrukcí.</x:v>
      </x:c>
    </x:row>
    <x:row r="9">
      <x:c r="A9" s="32" t="str">
        <x:v>handlingPct</x:v>
      </x:c>
      <x:c r="B9" s="38" t="n">
        <x:v>0.04</x:v>
      </x:c>
      <x:c r="C9" s="32" t="str">
        <x:v>% z panelů</x:v>
      </x:c>
      <x:c r="D9" s="32" t="str">
        <x:v>Manipulace a zdvihací technika</x:v>
      </x:c>
      <x:c r="E9" s="32" t="str">
        <x:v>PILOT</x:v>
      </x:c>
      <x:c r="F9" s="32" t="str">
        <x:v>Dočasná procentní sazba z hodnoty panelových konstrukcí.</x:v>
      </x:c>
    </x:row>
    <x:row r="10">
      <x:c r="A10" s="32" t="str">
        <x:v>siteFixed</x:v>
      </x:c>
      <x:c r="B10" s="44" t="n">
        <x:v>35000</x:v>
      </x:c>
      <x:c r="C10" s="32" t="str">
        <x:v>Kč/projekt</x:v>
      </x:c>
      <x:c r="D10" s="32" t="str">
        <x:v>Zařízení staveniště</x:v>
      </x:c>
      <x:c r="E10" s="32" t="str">
        <x:v>PILOT</x:v>
      </x:c>
      <x:c r="F10" s="32" t="str">
        <x:v>Pevná projektová položka.</x:v>
      </x:c>
    </x:row>
    <x:row r="11">
      <x:c r="A11" s="32" t="str">
        <x:v>sitePct</x:v>
      </x:c>
      <x:c r="B11" s="38" t="n">
        <x:v>0</x:v>
      </x:c>
      <x:c r="C11" s="32" t="str">
        <x:v>% z panelů</x:v>
      </x:c>
      <x:c r="D11" s="32" t="str">
        <x:v>Variabilní zařízení staveniště</x:v>
      </x:c>
      <x:c r="E11" s="32" t="str">
        <x:v>PILOT</x:v>
      </x:c>
      <x:c r="F11" s="32" t="str">
        <x:v>Lze později doplnit procentní část.</x:v>
      </x:c>
    </x:row>
    <x:row r="12">
      <x:c r="A12" s="32" t="str">
        <x:v>transportRate</x:v>
      </x:c>
      <x:c r="B12" s="44" t="n">
        <x:v>45</x:v>
      </x:c>
      <x:c r="C12" s="32" t="str">
        <x:v>Kč/km/závoz</x:v>
      </x:c>
      <x:c r="D12" s="32" t="str">
        <x:v>Doprava</x:v>
      </x:c>
      <x:c r="E12" s="32" t="str">
        <x:v>PILOT</x:v>
      </x:c>
      <x:c r="F12" s="32" t="str">
        <x:v>Počítá se tam i zpět podle vzdálenosti stavby.</x:v>
      </x:c>
    </x:row>
    <x:row r="13">
      <x:c r="A13" s="32" t="str">
        <x:v>panelAreaPerLoad</x:v>
      </x:c>
      <x:c r="B13" s="45" t="n">
        <x:v>70</x:v>
      </x:c>
      <x:c r="C13" s="32" t="str">
        <x:v>m²/závoz</x:v>
      </x:c>
      <x:c r="D13" s="32" t="str">
        <x:v>Kapacita jednoho závozu</x:v>
      </x:c>
      <x:c r="E13" s="32" t="str">
        <x:v>PILOT</x:v>
      </x:c>
      <x:c r="F13" s="32" t="str">
        <x:v>Započitatelná plocha panelů na jeden závoz.</x:v>
      </x:c>
    </x:row>
    <x:row r="14">
      <x:c r="A14" s="32" t="str">
        <x:v>minimumLoads</x:v>
      </x:c>
      <x:c r="B14" s="46" t="n">
        <x:v>1</x:v>
      </x:c>
      <x:c r="C14" s="32" t="str">
        <x:v>závoz</x:v>
      </x:c>
      <x:c r="D14" s="32" t="str">
        <x:v>Minimální počet závozů</x:v>
      </x:c>
      <x:c r="E14" s="32" t="str">
        <x:v>PILOT</x:v>
      </x:c>
      <x:c r="F14" s="32" t="str">
        <x:v>Nejméně jeden závoz.</x:v>
      </x:c>
    </x:row>
    <x:row r="15">
      <x:c r="A15" s="32" t="str">
        <x:v>roundingStep</x:v>
      </x:c>
      <x:c r="B15" s="44" t="n">
        <x:v>1000</x:v>
      </x:c>
      <x:c r="C15" s="32" t="str">
        <x:v>Kč</x:v>
      </x:c>
      <x:c r="D15" s="32" t="str">
        <x:v>Zaokrouhlení nabídky</x:v>
      </x:c>
      <x:c r="E15" s="32" t="str">
        <x:v>PILOT</x:v>
      </x:c>
      <x:c r="F15" s="32" t="str">
        <x:v>Celková cena bez DPH se zaokrouhlí na tento krok.</x:v>
      </x:c>
    </x:row>
    <x:row r="16">
      <x:c r="A16" s="32"/>
      <x:c r="B16" s="32"/>
      <x:c r="C16" s="32"/>
      <x:c r="D16" s="32"/>
      <x:c r="E16" s="32"/>
      <x:c r="F16" s="32"/>
    </x:row>
    <x:row r="17" ht="25" customHeight="1">
      <x:c r="A17" s="10" t="str">
        <x:v>Rezerva podle kvality podkladu</x:v>
      </x:c>
      <x:c r="B17" s="10" t="str">
        <x:v>Rezerva podle kvality podkladu</x:v>
      </x:c>
      <x:c r="C17" s="10" t="str">
        <x:v>Rezerva podle kvality podkladu</x:v>
      </x:c>
      <x:c r="D17" s="10" t="str">
        <x:v>Rezerva podle kvality podkladu</x:v>
      </x:c>
      <x:c r="E17" s="10" t="str">
        <x:v>Rezerva podle kvality podkladu</x:v>
      </x:c>
      <x:c r="F17" s="10" t="str">
        <x:v>Rezerva podle kvality podkladu</x:v>
      </x:c>
    </x:row>
    <x:row r="18">
      <x:c r="A18" s="21" t="str">
        <x:v>Kvalita podkladu</x:v>
      </x:c>
      <x:c r="B18" s="22" t="str">
        <x:v>Rezerva</x:v>
      </x:c>
      <x:c r="C18" s="22" t="str">
        <x:v>Použití</x:v>
      </x:c>
      <x:c r="D18" s="22" t="str">
        <x:v>Stav</x:v>
      </x:c>
      <x:c r="E18" s="22" t="str">
        <x:v>Klíč</x:v>
      </x:c>
      <x:c r="F18" s="23" t="str">
        <x:v>Poznámka</x:v>
      </x:c>
    </x:row>
    <x:row r="19">
      <x:c r="A19" s="32" t="str">
        <x:v>Podrobná dokumentace</x:v>
      </x:c>
      <x:c r="B19" s="38" t="n">
        <x:v>0.01</x:v>
      </x:c>
      <x:c r="C19" s="32" t="str">
        <x:v>Kótované půdorysy a řezy</x:v>
      </x:c>
      <x:c r="D19" s="32" t="str">
        <x:v>PILOT</x:v>
      </x:c>
      <x:c r="E19" s="32" t="str">
        <x:v>detailed</x:v>
      </x:c>
      <x:c r="F19" s="32" t="str">
        <x:v>Nejnižší rezerva.</x:v>
      </x:c>
    </x:row>
    <x:row r="20">
      <x:c r="A20" s="32" t="str">
        <x:v>Standardní dokumentace</x:v>
      </x:c>
      <x:c r="B20" s="38" t="n">
        <x:v>0.03</x:v>
      </x:c>
      <x:c r="C20" s="32" t="str">
        <x:v>Běžná projektová dokumentace</x:v>
      </x:c>
      <x:c r="D20" s="32" t="str">
        <x:v>PILOT</x:v>
      </x:c>
      <x:c r="E20" s="32" t="str">
        <x:v>standard</x:v>
      </x:c>
      <x:c r="F20" s="32" t="str">
        <x:v>Výchozí stav kalkulačky.</x:v>
      </x:c>
    </x:row>
    <x:row r="21">
      <x:c r="A21" s="32" t="str">
        <x:v>Zjednodušené schéma</x:v>
      </x:c>
      <x:c r="B21" s="38" t="n">
        <x:v>0.05</x:v>
      </x:c>
      <x:c r="C21" s="32" t="str">
        <x:v>Schéma půdorysu a řezu</x:v>
      </x:c>
      <x:c r="D21" s="32" t="str">
        <x:v>PILOT</x:v>
      </x:c>
      <x:c r="E21" s="32" t="str">
        <x:v>schema</x:v>
      </x:c>
      <x:c r="F21" s="32" t="str">
        <x:v>Vyšší rezerva za neúplná data.</x:v>
      </x:c>
    </x:row>
    <x:row r="22">
      <x:c r="A22" s="32"/>
      <x:c r="B22" s="32"/>
      <x:c r="C22" s="32"/>
      <x:c r="D22" s="32"/>
      <x:c r="E22" s="32"/>
      <x:c r="F22" s="32"/>
    </x:row>
    <x:row r="23" ht="25" customHeight="1">
      <x:c r="A23" s="10" t="str">
        <x:v>Objemová obchodní úprava podle užitné plochy</x:v>
      </x:c>
      <x:c r="B23" s="10" t="str">
        <x:v>Objemová obchodní úprava podle užitné plochy</x:v>
      </x:c>
      <x:c r="C23" s="10" t="str">
        <x:v>Objemová obchodní úprava podle užitné plochy</x:v>
      </x:c>
      <x:c r="D23" s="10" t="str">
        <x:v>Objemová obchodní úprava podle užitné plochy</x:v>
      </x:c>
      <x:c r="E23" s="10" t="str">
        <x:v>Objemová obchodní úprava podle užitné plochy</x:v>
      </x:c>
      <x:c r="F23" s="10" t="str">
        <x:v>Objemová obchodní úprava podle užitné plochy</x:v>
      </x:c>
    </x:row>
    <x:row r="24">
      <x:c r="A24" s="21" t="str">
        <x:v>Od m²</x:v>
      </x:c>
      <x:c r="B24" s="22" t="str">
        <x:v>Do m²</x:v>
      </x:c>
      <x:c r="C24" s="22" t="str">
        <x:v>Úprava ceny panelů</x:v>
      </x:c>
      <x:c r="D24" s="22" t="str">
        <x:v>Stav</x:v>
      </x:c>
      <x:c r="E24" s="22" t="str">
        <x:v>Klíč</x:v>
      </x:c>
      <x:c r="F24" s="23" t="str">
        <x:v>Poznámka</x:v>
      </x:c>
    </x:row>
    <x:row r="25">
      <x:c r="A25" s="32" t="n">
        <x:v>80</x:v>
      </x:c>
      <x:c r="B25" s="32" t="n">
        <x:v>149</x:v>
      </x:c>
      <x:c r="C25" s="38" t="n">
        <x:v>0</x:v>
      </x:c>
      <x:c r="D25" s="32" t="str">
        <x:v>PILOT</x:v>
      </x:c>
      <x:c r="E25" s="32" t="str">
        <x:v>small</x:v>
      </x:c>
      <x:c r="F25" s="32" t="str">
        <x:v>Výchozí bez automatické slevy.</x:v>
      </x:c>
    </x:row>
    <x:row r="26">
      <x:c r="A26" s="32" t="n">
        <x:v>150</x:v>
      </x:c>
      <x:c r="B26" s="32" t="n">
        <x:v>299</x:v>
      </x:c>
      <x:c r="C26" s="38" t="n">
        <x:v>0</x:v>
      </x:c>
      <x:c r="D26" s="32" t="str">
        <x:v>PILOT</x:v>
      </x:c>
      <x:c r="E26" s="32" t="str">
        <x:v>medium</x:v>
      </x:c>
      <x:c r="F26" s="32" t="str">
        <x:v>Lze nastavit záporné procento po vyhodnocení pilotu.</x:v>
      </x:c>
    </x:row>
    <x:row r="27">
      <x:c r="A27" s="32" t="n">
        <x:v>300</x:v>
      </x:c>
      <x:c r="B27" s="32" t="n">
        <x:v>500</x:v>
      </x:c>
      <x:c r="C27" s="38" t="n">
        <x:v>0</x:v>
      </x:c>
      <x:c r="D27" s="32" t="str">
        <x:v>PILOT</x:v>
      </x:c>
      <x:c r="E27" s="32" t="str">
        <x:v>large</x:v>
      </x:c>
      <x:c r="F27" s="32" t="str">
        <x:v>Lze nastavit záporné procento po vyhodnocení pilotu.</x:v>
      </x:c>
    </x:row>
    <x:row r="28">
      <x:c r="A28" s="32"/>
      <x:c r="B28" s="32"/>
      <x:c r="C28" s="32"/>
      <x:c r="D28" s="32"/>
      <x:c r="E28" s="32"/>
      <x:c r="F28" s="32"/>
    </x:row>
    <x:row r="29" ht="25" customHeight="1">
      <x:c r="A29" s="10" t="str">
        <x:v>Zdroje a pravidla</x:v>
      </x:c>
      <x:c r="B29" s="10" t="str">
        <x:v>Zdroje a pravidla</x:v>
      </x:c>
      <x:c r="C29" s="10" t="str">
        <x:v>Zdroje a pravidla</x:v>
      </x:c>
      <x:c r="D29" s="10" t="str">
        <x:v>Zdroje a pravidla</x:v>
      </x:c>
      <x:c r="E29" s="10" t="str">
        <x:v>Zdroje a pravidla</x:v>
      </x:c>
      <x:c r="F29" s="10" t="str">
        <x:v>Zdroje a pravidla</x:v>
      </x:c>
    </x:row>
    <x:row r="30">
      <x:c r="A30" s="21" t="str">
        <x:v>Položka</x:v>
      </x:c>
      <x:c r="B30" s="22" t="str">
        <x:v>Zdroj</x:v>
      </x:c>
      <x:c r="C30" s="22" t="str">
        <x:v>Datum</x:v>
      </x:c>
      <x:c r="D30" s="22" t="str">
        <x:v>Reference</x:v>
      </x:c>
      <x:c r="E30" s="22" t="str">
        <x:v>URL / soubor</x:v>
      </x:c>
      <x:c r="F30" s="23" t="str">
        <x:v>Poznámka</x:v>
      </x:c>
    </x:row>
    <x:row r="31">
      <x:c r="A31" s="32" t="str">
        <x:v>Ceny panelů</x:v>
      </x:c>
      <x:c r="B31" s="32" t="str">
        <x:v>kalkulacni_matice_panelu.csv</x:v>
      </x:c>
      <x:c r="C31" s="47" t="n">
        <x:v>46235</x:v>
      </x:c>
      <x:c r="D31" s="33" t="str">
        <x:v>Jednotková cena</x:v>
      </x:c>
      <x:c r="E31" s="33" t="str">
        <x:v>kalkulacni_matice_panelu.csv</x:v>
      </x:c>
      <x:c r="F31" s="33" t="str">
        <x:v>Výchozí publikované ceny.</x:v>
      </x:c>
    </x:row>
    <x:row r="32">
      <x:c r="A32" s="32" t="str">
        <x:v>Benchmarky</x:v>
      </x:c>
      <x:c r="B32" s="32" t="str">
        <x:v>ceny panelů.pdf</x:v>
      </x:c>
      <x:c r="C32" s="47" t="n">
        <x:v>46231</x:v>
      </x:c>
      <x:c r="D32" s="33" t="str">
        <x:v>strany 1–2</x:v>
      </x:c>
      <x:c r="E32" s="33" t="str">
        <x:v>ceny panelů.pdf</x:v>
      </x:c>
      <x:c r="F32" s="33" t="str">
        <x:v>Pořizovací ceny: nákupní cena plus doprava.</x:v>
      </x:c>
    </x:row>
    <x:row r="33">
      <x:c r="A33" s="32" t="str">
        <x:v>Odpočty otvorů</x:v>
      </x:c>
      <x:c r="B33" s="32" t="str">
        <x:v>KALKULACE_A_PARAMETRICKE_PAROVANI.md</x:v>
      </x:c>
      <x:c r="C33" s="47" t="n">
        <x:v>46235</x:v>
      </x:c>
      <x:c r="D33" s="33" t="str">
        <x:v>kapitola 3</x:v>
      </x:c>
      <x:c r="E33" s="33" t="str">
        <x:v>KALKULACE_A_PARAMETRICKE_PAROVANI.md</x:v>
      </x:c>
      <x:c r="F33" s="33" t="str">
        <x:v>15 % obvodové, 10 % vnitřní, 5 % stropy a střechy.</x:v>
      </x:c>
    </x:row>
    <x:row r="34">
      <x:c r="A34" s="32" t="str">
        <x:v>Sazby služeb</x:v>
      </x:c>
      <x:c r="B34" s="32" t="str">
        <x:v>Pilotní předpoklad</x:v>
      </x:c>
      <x:c r="C34" s="47" t="n">
        <x:v>46236</x:v>
      </x:c>
      <x:c r="D34" s="33" t="str">
        <x:v>list 03_Sazby_sluzeb</x:v>
      </x:c>
      <x:c r="E34" s="33" t="str"/>
      <x:c r="F34" s="33" t="str">
        <x:v>Nahradit zkušeností z pilotních zakázek.</x:v>
      </x:c>
    </x:row>
  </x:sheetData>
  <x:mergeCells>
    <x:mergeCell ref="A1:F1"/>
    <x:mergeCell ref="A2:F2"/>
    <x:mergeCell ref="A4:F4"/>
    <x:mergeCell ref="A17:F17"/>
    <x:mergeCell ref="A23:F23"/>
    <x:mergeCell ref="A29:F29"/>
  </x:mergeCells>
  <x:pageMargins left="0.7" right="0.7" top="0.75" bottom="0.75" header="0.3" footer="0.3"/>
  <x:legacyDrawing xmlns:r="http://schemas.openxmlformats.org/officeDocument/2006/relationships" r:id="Rf199b0066eac49dd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24" hidden="0" customWidth="1"/>
    <x:col min="4" max="4" width="46" hidden="0" customWidth="1"/>
    <x:col min="5" max="5" width="15" hidden="0" customWidth="1"/>
    <x:col min="6" max="6" width="12" hidden="0" customWidth="1"/>
    <x:col min="7" max="7" width="18" hidden="0" customWidth="1"/>
    <x:col min="8" max="8" width="18" hidden="0" customWidth="1"/>
    <x:col min="9" max="9" width="13" hidden="0" customWidth="1"/>
    <x:col min="10" max="10" width="24" hidden="0" customWidth="1"/>
    <x:col min="11" max="11" width="44" hidden="0" customWidth="1"/>
  </x:cols>
  <x:sheetData>
    <x:row r="1" ht="34" customHeight="1">
      <x:c r="A1" s="3" t="str">
        <x:v>Export předobjednávky — nákupní košík</x:v>
      </x:c>
      <x:c r="B1" s="3" t="str">
        <x:v>Export předobjednávky — nákupní košík</x:v>
      </x:c>
      <x:c r="C1" s="3" t="str">
        <x:v>Export předobjednávky — nákupní košík</x:v>
      </x:c>
      <x:c r="D1" s="3" t="str">
        <x:v>Export předobjednávky — nákupní košík</x:v>
      </x:c>
      <x:c r="E1" s="3" t="str">
        <x:v>Export předobjednávky — nákupní košík</x:v>
      </x:c>
      <x:c r="F1" s="3" t="str">
        <x:v>Export předobjednávky — nákupní košík</x:v>
      </x:c>
      <x:c r="G1" s="3" t="str">
        <x:v>Export předobjednávky — nákupní košík</x:v>
      </x:c>
      <x:c r="H1" s="3" t="str">
        <x:v>Export předobjednávky — nákupní košík</x:v>
      </x:c>
      <x:c r="I1" s="3" t="str">
        <x:v>Export předobjednávky — nákupní košík</x:v>
      </x:c>
      <x:c r="J1" s="3" t="str">
        <x:v>Export předobjednávky — nákupní košík</x:v>
      </x:c>
      <x:c r="K1" s="3" t="str">
        <x:v>Export předobjednávky — nákupní košík</x:v>
      </x:c>
    </x:row>
    <x:row r="2">
      <x:c r="A2" s="7" t="str">
        <x:v>Backend načte pouze neprázdné řádky. Všechny položky jsou označeny jako předběžné a podléhají technickému potvrzení.</x:v>
      </x:c>
      <x:c r="B2" s="7" t="str">
        <x:v>Backend načte pouze neprázdné řádky. Všechny položky jsou označeny jako předběžné a podléhají technickému potvrzení.</x:v>
      </x:c>
      <x:c r="C2" s="7" t="str">
        <x:v>Backend načte pouze neprázdné řádky. Všechny položky jsou označeny jako předběžné a podléhají technickému potvrzení.</x:v>
      </x:c>
      <x:c r="D2" s="7" t="str">
        <x:v>Backend načte pouze neprázdné řádky. Všechny položky jsou označeny jako předběžné a podléhají technickému potvrzení.</x:v>
      </x:c>
      <x:c r="E2" s="7" t="str">
        <x:v>Backend načte pouze neprázdné řádky. Všechny položky jsou označeny jako předběžné a podléhají technickému potvrzení.</x:v>
      </x:c>
      <x:c r="F2" s="7" t="str">
        <x:v>Backend načte pouze neprázdné řádky. Všechny položky jsou označeny jako předběžné a podléhají technickému potvrzení.</x:v>
      </x:c>
      <x:c r="G2" s="7" t="str">
        <x:v>Backend načte pouze neprázdné řádky. Všechny položky jsou označeny jako předběžné a podléhají technickému potvrzení.</x:v>
      </x:c>
      <x:c r="H2" s="7" t="str">
        <x:v>Backend načte pouze neprázdné řádky. Všechny položky jsou označeny jako předběžné a podléhají technickému potvrzení.</x:v>
      </x:c>
      <x:c r="I2" s="7" t="str">
        <x:v>Backend načte pouze neprázdné řádky. Všechny položky jsou označeny jako předběžné a podléhají technickému potvrzení.</x:v>
      </x:c>
      <x:c r="J2" s="7" t="str">
        <x:v>Backend načte pouze neprázdné řádky. Všechny položky jsou označeny jako předběžné a podléhají technickému potvrzení.</x:v>
      </x:c>
      <x:c r="K2" s="7" t="str">
        <x:v>Backend načte pouze neprázdné řádky. Všechny položky jsou označeny jako předběžné a podléhají technickému potvrzení.</x:v>
      </x:c>
    </x:row>
    <x:row r="3">
      <x:c r="A3" s="142" t="str">
        <x:v>Projekt</x:v>
      </x:c>
      <x:c r="B3" s="142"/>
      <x:c r="C3" s="142" t="str">
        <x:v>Užitná plocha</x:v>
      </x:c>
      <x:c r="D3" s="142"/>
      <x:c r="E3" s="142" t="str">
        <x:v>Stav</x:v>
      </x:c>
      <x:c r="F3" s="142"/>
      <x:c r="G3" s="142" t="str">
        <x:v>Cena bez DPH</x:v>
      </x:c>
      <x:c r="H3" s="142"/>
      <x:c r="I3" s="142" t="str">
        <x:v>Cena s DPH</x:v>
      </x:c>
      <x:c r="J3" s="142"/>
      <x:c r="K3" s="142" t="str">
        <x:v>Měna</x:v>
      </x:c>
    </x:row>
    <x:row r="4">
      <x:c r="A4" s="143" t="str">
        <x:f>'01_Rychla_kalkulace'!B3</x:f>
        <x:v>Modelový rodinný dům</x:v>
      </x:c>
      <x:c r="B4" s="143"/>
      <x:c r="C4" s="144" t="n">
        <x:f>'01_Rychla_kalkulace'!F3</x:f>
        <x:v>100</x:v>
      </x:c>
      <x:c r="D4" s="143"/>
      <x:c r="E4" s="143" t="str">
        <x:f>'01_Rychla_kalkulace'!F4</x:f>
        <x:v>PŘEDBĚŽNÁ CENA K POTVRZENÍ</x:v>
      </x:c>
      <x:c r="F4" s="143"/>
      <x:c r="G4" s="145" t="n">
        <x:f>'01_Rychla_kalkulace'!E7</x:f>
        <x:v>3100000</x:v>
      </x:c>
      <x:c r="H4" s="145"/>
      <x:c r="I4" s="145" t="n">
        <x:f>'01_Rychla_kalkulace'!E9</x:f>
        <x:v>3751000</x:v>
      </x:c>
      <x:c r="J4" s="32"/>
      <x:c r="K4" s="32" t="str">
        <x:v>CZK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</x:row>
    <x:row r="6">
      <x:c r="A6" s="21" t="str">
        <x:v>lineNo</x:v>
      </x:c>
      <x:c r="B6" s="22" t="str">
        <x:v>lineType</x:v>
      </x:c>
      <x:c r="C6" s="22" t="str">
        <x:v>sku</x:v>
      </x:c>
      <x:c r="D6" s="22" t="str">
        <x:v>title</x:v>
      </x:c>
      <x:c r="E6" s="22" t="str">
        <x:v>quantity</x:v>
      </x:c>
      <x:c r="F6" s="22" t="str">
        <x:v>unit</x:v>
      </x:c>
      <x:c r="G6" s="22" t="str">
        <x:v>unitPriceExVat</x:v>
      </x:c>
      <x:c r="H6" s="22" t="str">
        <x:v>totalExVat</x:v>
      </x:c>
      <x:c r="I6" s="22" t="str">
        <x:v>estimated</x:v>
      </x:c>
      <x:c r="J6" s="22" t="str">
        <x:v>source</x:v>
      </x:c>
      <x:c r="K6" s="23" t="str">
        <x:v>note</x:v>
      </x:c>
    </x:row>
    <x:row r="7">
      <x:c r="A7" s="143" t="n">
        <x:f>IF('01_Rychla_kalkulace'!C21="","",1)</x:f>
        <x:v>1</x:v>
      </x:c>
      <x:c r="B7" s="143" t="str">
        <x:f>IF('01_Rychla_kalkulace'!C21="","","PANEL")</x:f>
        <x:v>PANEL</x:v>
      </x:c>
      <x:c r="C7" s="143" t="str">
        <x:f>IF('01_Rychla_kalkulace'!C21="","",'01_Rychla_kalkulace'!C21)</x:f>
        <x:v>OS_VF_01</x:v>
      </x:c>
      <x:c r="D7" s="128" t="str">
        <x:f>IF('01_Rychla_kalkulace'!C21="","",'01_Rychla_kalkulace'!D21)</x:f>
        <x:v>Obvodový stěnový panel s kontaktní omítkovou fasádou</x:v>
      </x:c>
      <x:c r="E7" s="146" t="n">
        <x:f>IF('01_Rychla_kalkulace'!C21="","",'01_Rychla_kalkulace'!K21)</x:f>
        <x:v>116.90559999999998</x:v>
      </x:c>
      <x:c r="F7" s="143" t="str">
        <x:f>IF('01_Rychla_kalkulace'!C21="","","m2")</x:f>
        <x:v>m2</x:v>
      </x:c>
      <x:c r="G7" s="145" t="n">
        <x:f>IF('01_Rychla_kalkulace'!C21="","",'01_Rychla_kalkulace'!L21)</x:f>
        <x:v>8500</x:v>
      </x:c>
      <x:c r="H7" s="145" t="n">
        <x:f>IF('01_Rychla_kalkulace'!C21="","",'01_Rychla_kalkulace'!M21)</x:f>
        <x:v>993697.5999999999</x:v>
      </x:c>
      <x:c r="I7" s="143" t="b">
        <x:f>IF('01_Rychla_kalkulace'!C21="","",TRUE)</x:f>
        <x:v>1</x:v>
      </x:c>
      <x:c r="J7" s="143" t="str">
        <x:f>IF('01_Rychla_kalkulace'!C21="","","AI_EXTRACTED_PANEL")</x:f>
        <x:v>AI_EXTRACTED_PANEL</x:v>
      </x:c>
      <x:c r="K7" s="128" t="str">
        <x:f>IF('01_Rychla_kalkulace'!C21="","","Standardní odpočet otvorů "&amp;TEXT('01_Rychla_kalkulace'!J21,"0%"))</x:f>
        <x:v>Standardní odpočet otvorů 15%</x:v>
      </x:c>
    </x:row>
    <x:row r="8">
      <x:c r="A8" s="143" t="n">
        <x:f>IF('01_Rychla_kalkulace'!C22="","",2)</x:f>
        <x:v>2</x:v>
      </x:c>
      <x:c r="B8" s="143" t="str">
        <x:f>IF('01_Rychla_kalkulace'!C22="","","PANEL")</x:f>
        <x:v>PANEL</x:v>
      </x:c>
      <x:c r="C8" s="143" t="str">
        <x:f>IF('01_Rychla_kalkulace'!C22="","",'01_Rychla_kalkulace'!C22)</x:f>
        <x:v>NS_VF_01</x:v>
      </x:c>
      <x:c r="D8" s="128" t="str">
        <x:f>IF('01_Rychla_kalkulace'!C22="","",'01_Rychla_kalkulace'!D22)</x:f>
        <x:v>Vnitřní nosný stěnový panel</x:v>
      </x:c>
      <x:c r="E8" s="146" t="n">
        <x:f>IF('01_Rychla_kalkulace'!C22="","",'01_Rychla_kalkulace'!K22)</x:f>
        <x:v>28.223999999999997</x:v>
      </x:c>
      <x:c r="F8" s="143" t="str">
        <x:f>IF('01_Rychla_kalkulace'!C22="","","m2")</x:f>
        <x:v>m2</x:v>
      </x:c>
      <x:c r="G8" s="145" t="n">
        <x:f>IF('01_Rychla_kalkulace'!C22="","",'01_Rychla_kalkulace'!L22)</x:f>
        <x:v>3500</x:v>
      </x:c>
      <x:c r="H8" s="145" t="n">
        <x:f>IF('01_Rychla_kalkulace'!C22="","",'01_Rychla_kalkulace'!M22)</x:f>
        <x:v>98783.99999999999</x:v>
      </x:c>
      <x:c r="I8" s="143" t="b">
        <x:f>IF('01_Rychla_kalkulace'!C22="","",TRUE)</x:f>
        <x:v>1</x:v>
      </x:c>
      <x:c r="J8" s="143" t="str">
        <x:f>IF('01_Rychla_kalkulace'!C22="","","AI_EXTRACTED_PANEL")</x:f>
        <x:v>AI_EXTRACTED_PANEL</x:v>
      </x:c>
      <x:c r="K8" s="128" t="str">
        <x:f>IF('01_Rychla_kalkulace'!C22="","","Standardní odpočet otvorů "&amp;TEXT('01_Rychla_kalkulace'!J22,"0%"))</x:f>
        <x:v>Standardní odpočet otvorů 10%</x:v>
      </x:c>
    </x:row>
    <x:row r="9">
      <x:c r="A9" s="143" t="n">
        <x:f>IF('01_Rychla_kalkulace'!C23="","",3)</x:f>
        <x:v>3</x:v>
      </x:c>
      <x:c r="B9" s="143" t="str">
        <x:f>IF('01_Rychla_kalkulace'!C23="","","PANEL")</x:f>
        <x:v>PANEL</x:v>
      </x:c>
      <x:c r="C9" s="143" t="str">
        <x:f>IF('01_Rychla_kalkulace'!C23="","",'01_Rychla_kalkulace'!C23)</x:f>
        <x:v>DS_VF_01</x:v>
      </x:c>
      <x:c r="D9" s="128" t="str">
        <x:f>IF('01_Rychla_kalkulace'!C23="","",'01_Rychla_kalkulace'!D23)</x:f>
        <x:v>Akustický mezibytový dělící panel</x:v>
      </x:c>
      <x:c r="E9" s="146" t="n">
        <x:f>IF('01_Rychla_kalkulace'!C23="","",'01_Rychla_kalkulace'!K23)</x:f>
        <x:v>27.6696</x:v>
      </x:c>
      <x:c r="F9" s="143" t="str">
        <x:f>IF('01_Rychla_kalkulace'!C23="","","m2")</x:f>
        <x:v>m2</x:v>
      </x:c>
      <x:c r="G9" s="145" t="n">
        <x:f>IF('01_Rychla_kalkulace'!C23="","",'01_Rychla_kalkulace'!L23)</x:f>
        <x:v>5500</x:v>
      </x:c>
      <x:c r="H9" s="145" t="n">
        <x:f>IF('01_Rychla_kalkulace'!C23="","",'01_Rychla_kalkulace'!M23)</x:f>
        <x:v>152182.8</x:v>
      </x:c>
      <x:c r="I9" s="143" t="b">
        <x:f>IF('01_Rychla_kalkulace'!C23="","",TRUE)</x:f>
        <x:v>1</x:v>
      </x:c>
      <x:c r="J9" s="143" t="str">
        <x:f>IF('01_Rychla_kalkulace'!C23="","","AI_EXTRACTED_PANEL")</x:f>
        <x:v>AI_EXTRACTED_PANEL</x:v>
      </x:c>
      <x:c r="K9" s="128" t="str">
        <x:f>IF('01_Rychla_kalkulace'!C23="","","Standardní odpočet otvorů "&amp;TEXT('01_Rychla_kalkulace'!J23,"0%"))</x:f>
        <x:v>Standardní odpočet otvorů 10%</x:v>
      </x:c>
    </x:row>
    <x:row r="10">
      <x:c r="A10" s="143" t="n">
        <x:f>IF('01_Rychla_kalkulace'!C24="","",4)</x:f>
        <x:v>4</x:v>
      </x:c>
      <x:c r="B10" s="143" t="str">
        <x:f>IF('01_Rychla_kalkulace'!C24="","","PANEL")</x:f>
        <x:v>PANEL</x:v>
      </x:c>
      <x:c r="C10" s="143" t="str">
        <x:f>IF('01_Rychla_kalkulace'!C24="","",'01_Rychla_kalkulace'!C24)</x:f>
        <x:v>PODLAHA_1NP</x:v>
      </x:c>
      <x:c r="D10" s="128" t="str">
        <x:f>IF('01_Rychla_kalkulace'!C24="","",'01_Rychla_kalkulace'!D24)</x:f>
        <x:v>Podlahový panel 1. NP s podlahovým vytápěním</x:v>
      </x:c>
      <x:c r="E10" s="146" t="n">
        <x:f>IF('01_Rychla_kalkulace'!C24="","",'01_Rychla_kalkulace'!K24)</x:f>
        <x:v>95</x:v>
      </x:c>
      <x:c r="F10" s="143" t="str">
        <x:f>IF('01_Rychla_kalkulace'!C24="","","m2")</x:f>
        <x:v>m2</x:v>
      </x:c>
      <x:c r="G10" s="145" t="n">
        <x:f>IF('01_Rychla_kalkulace'!C24="","",'01_Rychla_kalkulace'!L24)</x:f>
        <x:v>3500</x:v>
      </x:c>
      <x:c r="H10" s="145" t="n">
        <x:f>IF('01_Rychla_kalkulace'!C24="","",'01_Rychla_kalkulace'!M24)</x:f>
        <x:v>332500</x:v>
      </x:c>
      <x:c r="I10" s="143" t="b">
        <x:f>IF('01_Rychla_kalkulace'!C24="","",TRUE)</x:f>
        <x:v>1</x:v>
      </x:c>
      <x:c r="J10" s="143" t="str">
        <x:f>IF('01_Rychla_kalkulace'!C24="","","AI_EXTRACTED_PANEL")</x:f>
        <x:v>AI_EXTRACTED_PANEL</x:v>
      </x:c>
      <x:c r="K10" s="128" t="str">
        <x:f>IF('01_Rychla_kalkulace'!C24="","","Standardní odpočet otvorů "&amp;TEXT('01_Rychla_kalkulace'!J24,"0%"))</x:f>
        <x:v>Standardní odpočet otvorů 5%</x:v>
      </x:c>
    </x:row>
    <x:row r="11">
      <x:c r="A11" s="143" t="n">
        <x:f>IF('01_Rychla_kalkulace'!C25="","",5)</x:f>
        <x:v>5</x:v>
      </x:c>
      <x:c r="B11" s="143" t="str">
        <x:f>IF('01_Rychla_kalkulace'!C25="","","PANEL")</x:f>
        <x:v>PANEL</x:v>
      </x:c>
      <x:c r="C11" s="143" t="str">
        <x:f>IF('01_Rychla_kalkulace'!C25="","",'01_Rychla_kalkulace'!C25)</x:f>
        <x:v>STRECHA_SIKMA</x:v>
      </x:c>
      <x:c r="D11" s="128" t="str">
        <x:f>IF('01_Rychla_kalkulace'!C25="","",'01_Rychla_kalkulace'!D25)</x:f>
        <x:v>Panel šikmé střechy s falcovanou krytinou</x:v>
      </x:c>
      <x:c r="E11" s="146" t="n">
        <x:f>IF('01_Rychla_kalkulace'!C25="","",'01_Rychla_kalkulace'!K25)</x:f>
        <x:v>125.69298</x:v>
      </x:c>
      <x:c r="F11" s="143" t="str">
        <x:f>IF('01_Rychla_kalkulace'!C25="","","m2")</x:f>
        <x:v>m2</x:v>
      </x:c>
      <x:c r="G11" s="145" t="n">
        <x:f>IF('01_Rychla_kalkulace'!C25="","",'01_Rychla_kalkulace'!L25)</x:f>
        <x:v>6500</x:v>
      </x:c>
      <x:c r="H11" s="145" t="n">
        <x:f>IF('01_Rychla_kalkulace'!C25="","",'01_Rychla_kalkulace'!M25)</x:f>
        <x:v>817004.37</x:v>
      </x:c>
      <x:c r="I11" s="143" t="b">
        <x:f>IF('01_Rychla_kalkulace'!C25="","",TRUE)</x:f>
        <x:v>1</x:v>
      </x:c>
      <x:c r="J11" s="143" t="str">
        <x:f>IF('01_Rychla_kalkulace'!C25="","","AI_EXTRACTED_PANEL")</x:f>
        <x:v>AI_EXTRACTED_PANEL</x:v>
      </x:c>
      <x:c r="K11" s="128" t="str">
        <x:f>IF('01_Rychla_kalkulace'!C25="","","Standardní odpočet otvorů "&amp;TEXT('01_Rychla_kalkulace'!J25,"0%"))</x:f>
        <x:v>Standardní odpočet otvorů 5%</x:v>
      </x:c>
    </x:row>
    <x:row r="12">
      <x:c r="A12" s="143" t="str">
        <x:f>IF('01_Rychla_kalkulace'!C26="","",6)</x:f>
      </x:c>
      <x:c r="B12" s="143" t="str">
        <x:f>IF('01_Rychla_kalkulace'!C26="","","PANEL")</x:f>
      </x:c>
      <x:c r="C12" s="143" t="str">
        <x:f>IF('01_Rychla_kalkulace'!C26="","",'01_Rychla_kalkulace'!C26)</x:f>
      </x:c>
      <x:c r="D12" s="128" t="str">
        <x:f>IF('01_Rychla_kalkulace'!C26="","",'01_Rychla_kalkulace'!D26)</x:f>
      </x:c>
      <x:c r="E12" s="146" t="str">
        <x:f>IF('01_Rychla_kalkulace'!C26="","",'01_Rychla_kalkulace'!K26)</x:f>
      </x:c>
      <x:c r="F12" s="143" t="str">
        <x:f>IF('01_Rychla_kalkulace'!C26="","","m2")</x:f>
      </x:c>
      <x:c r="G12" s="145" t="str">
        <x:f>IF('01_Rychla_kalkulace'!C26="","",'01_Rychla_kalkulace'!L26)</x:f>
      </x:c>
      <x:c r="H12" s="145" t="str">
        <x:f>IF('01_Rychla_kalkulace'!C26="","",'01_Rychla_kalkulace'!M26)</x:f>
      </x:c>
      <x:c r="I12" s="143" t="str">
        <x:f>IF('01_Rychla_kalkulace'!C26="","",TRUE)</x:f>
      </x:c>
      <x:c r="J12" s="143" t="str">
        <x:f>IF('01_Rychla_kalkulace'!C26="","","AI_EXTRACTED_PANEL")</x:f>
      </x:c>
      <x:c r="K12" s="128" t="str">
        <x:f>IF('01_Rychla_kalkulace'!C26="","","Standardní odpočet otvorů "&amp;TEXT('01_Rychla_kalkulace'!J26,"0%"))</x:f>
      </x:c>
    </x:row>
    <x:row r="13">
      <x:c r="A13" s="143" t="str">
        <x:f>IF('01_Rychla_kalkulace'!C27="","",7)</x:f>
      </x:c>
      <x:c r="B13" s="143" t="str">
        <x:f>IF('01_Rychla_kalkulace'!C27="","","PANEL")</x:f>
      </x:c>
      <x:c r="C13" s="143" t="str">
        <x:f>IF('01_Rychla_kalkulace'!C27="","",'01_Rychla_kalkulace'!C27)</x:f>
      </x:c>
      <x:c r="D13" s="128" t="str">
        <x:f>IF('01_Rychla_kalkulace'!C27="","",'01_Rychla_kalkulace'!D27)</x:f>
      </x:c>
      <x:c r="E13" s="146" t="str">
        <x:f>IF('01_Rychla_kalkulace'!C27="","",'01_Rychla_kalkulace'!K27)</x:f>
      </x:c>
      <x:c r="F13" s="143" t="str">
        <x:f>IF('01_Rychla_kalkulace'!C27="","","m2")</x:f>
      </x:c>
      <x:c r="G13" s="145" t="str">
        <x:f>IF('01_Rychla_kalkulace'!C27="","",'01_Rychla_kalkulace'!L27)</x:f>
      </x:c>
      <x:c r="H13" s="145" t="str">
        <x:f>IF('01_Rychla_kalkulace'!C27="","",'01_Rychla_kalkulace'!M27)</x:f>
      </x:c>
      <x:c r="I13" s="143" t="str">
        <x:f>IF('01_Rychla_kalkulace'!C27="","",TRUE)</x:f>
      </x:c>
      <x:c r="J13" s="143" t="str">
        <x:f>IF('01_Rychla_kalkulace'!C27="","","AI_EXTRACTED_PANEL")</x:f>
      </x:c>
      <x:c r="K13" s="128" t="str">
        <x:f>IF('01_Rychla_kalkulace'!C27="","","Standardní odpočet otvorů "&amp;TEXT('01_Rychla_kalkulace'!J27,"0%"))</x:f>
      </x:c>
    </x:row>
    <x:row r="14">
      <x:c r="A14" s="143" t="str">
        <x:f>IF('01_Rychla_kalkulace'!C28="","",8)</x:f>
      </x:c>
      <x:c r="B14" s="143" t="str">
        <x:f>IF('01_Rychla_kalkulace'!C28="","","PANEL")</x:f>
      </x:c>
      <x:c r="C14" s="143" t="str">
        <x:f>IF('01_Rychla_kalkulace'!C28="","",'01_Rychla_kalkulace'!C28)</x:f>
      </x:c>
      <x:c r="D14" s="128" t="str">
        <x:f>IF('01_Rychla_kalkulace'!C28="","",'01_Rychla_kalkulace'!D28)</x:f>
      </x:c>
      <x:c r="E14" s="146" t="str">
        <x:f>IF('01_Rychla_kalkulace'!C28="","",'01_Rychla_kalkulace'!K28)</x:f>
      </x:c>
      <x:c r="F14" s="143" t="str">
        <x:f>IF('01_Rychla_kalkulace'!C28="","","m2")</x:f>
      </x:c>
      <x:c r="G14" s="145" t="str">
        <x:f>IF('01_Rychla_kalkulace'!C28="","",'01_Rychla_kalkulace'!L28)</x:f>
      </x:c>
      <x:c r="H14" s="145" t="str">
        <x:f>IF('01_Rychla_kalkulace'!C28="","",'01_Rychla_kalkulace'!M28)</x:f>
      </x:c>
      <x:c r="I14" s="143" t="str">
        <x:f>IF('01_Rychla_kalkulace'!C28="","",TRUE)</x:f>
      </x:c>
      <x:c r="J14" s="143" t="str">
        <x:f>IF('01_Rychla_kalkulace'!C28="","","AI_EXTRACTED_PANEL")</x:f>
      </x:c>
      <x:c r="K14" s="128" t="str">
        <x:f>IF('01_Rychla_kalkulace'!C28="","","Standardní odpočet otvorů "&amp;TEXT('01_Rychla_kalkulace'!J28,"0%"))</x:f>
      </x:c>
    </x:row>
    <x:row r="15">
      <x:c r="A15" s="143" t="str">
        <x:f>IF('01_Rychla_kalkulace'!C29="","",9)</x:f>
      </x:c>
      <x:c r="B15" s="143" t="str">
        <x:f>IF('01_Rychla_kalkulace'!C29="","","PANEL")</x:f>
      </x:c>
      <x:c r="C15" s="143" t="str">
        <x:f>IF('01_Rychla_kalkulace'!C29="","",'01_Rychla_kalkulace'!C29)</x:f>
      </x:c>
      <x:c r="D15" s="128" t="str">
        <x:f>IF('01_Rychla_kalkulace'!C29="","",'01_Rychla_kalkulace'!D29)</x:f>
      </x:c>
      <x:c r="E15" s="146" t="str">
        <x:f>IF('01_Rychla_kalkulace'!C29="","",'01_Rychla_kalkulace'!K29)</x:f>
      </x:c>
      <x:c r="F15" s="143" t="str">
        <x:f>IF('01_Rychla_kalkulace'!C29="","","m2")</x:f>
      </x:c>
      <x:c r="G15" s="145" t="str">
        <x:f>IF('01_Rychla_kalkulace'!C29="","",'01_Rychla_kalkulace'!L29)</x:f>
      </x:c>
      <x:c r="H15" s="145" t="str">
        <x:f>IF('01_Rychla_kalkulace'!C29="","",'01_Rychla_kalkulace'!M29)</x:f>
      </x:c>
      <x:c r="I15" s="143" t="str">
        <x:f>IF('01_Rychla_kalkulace'!C29="","",TRUE)</x:f>
      </x:c>
      <x:c r="J15" s="143" t="str">
        <x:f>IF('01_Rychla_kalkulace'!C29="","","AI_EXTRACTED_PANEL")</x:f>
      </x:c>
      <x:c r="K15" s="128" t="str">
        <x:f>IF('01_Rychla_kalkulace'!C29="","","Standardní odpočet otvorů "&amp;TEXT('01_Rychla_kalkulace'!J29,"0%"))</x:f>
      </x:c>
    </x:row>
    <x:row r="16">
      <x:c r="A16" s="143" t="str">
        <x:f>IF('01_Rychla_kalkulace'!C30="","",10)</x:f>
      </x:c>
      <x:c r="B16" s="143" t="str">
        <x:f>IF('01_Rychla_kalkulace'!C30="","","PANEL")</x:f>
      </x:c>
      <x:c r="C16" s="143" t="str">
        <x:f>IF('01_Rychla_kalkulace'!C30="","",'01_Rychla_kalkulace'!C30)</x:f>
      </x:c>
      <x:c r="D16" s="128" t="str">
        <x:f>IF('01_Rychla_kalkulace'!C30="","",'01_Rychla_kalkulace'!D30)</x:f>
      </x:c>
      <x:c r="E16" s="146" t="str">
        <x:f>IF('01_Rychla_kalkulace'!C30="","",'01_Rychla_kalkulace'!K30)</x:f>
      </x:c>
      <x:c r="F16" s="143" t="str">
        <x:f>IF('01_Rychla_kalkulace'!C30="","","m2")</x:f>
      </x:c>
      <x:c r="G16" s="145" t="str">
        <x:f>IF('01_Rychla_kalkulace'!C30="","",'01_Rychla_kalkulace'!L30)</x:f>
      </x:c>
      <x:c r="H16" s="145" t="str">
        <x:f>IF('01_Rychla_kalkulace'!C30="","",'01_Rychla_kalkulace'!M30)</x:f>
      </x:c>
      <x:c r="I16" s="143" t="str">
        <x:f>IF('01_Rychla_kalkulace'!C30="","",TRUE)</x:f>
      </x:c>
      <x:c r="J16" s="143" t="str">
        <x:f>IF('01_Rychla_kalkulace'!C30="","","AI_EXTRACTED_PANEL")</x:f>
      </x:c>
      <x:c r="K16" s="128" t="str">
        <x:f>IF('01_Rychla_kalkulace'!C30="","","Standardní odpočet otvorů "&amp;TEXT('01_Rychla_kalkulace'!J30,"0%"))</x:f>
      </x:c>
    </x:row>
    <x:row r="17">
      <x:c r="A17" s="143" t="str">
        <x:f>IF('01_Rychla_kalkulace'!C31="","",11)</x:f>
      </x:c>
      <x:c r="B17" s="143" t="str">
        <x:f>IF('01_Rychla_kalkulace'!C31="","","PANEL")</x:f>
      </x:c>
      <x:c r="C17" s="143" t="str">
        <x:f>IF('01_Rychla_kalkulace'!C31="","",'01_Rychla_kalkulace'!C31)</x:f>
      </x:c>
      <x:c r="D17" s="128" t="str">
        <x:f>IF('01_Rychla_kalkulace'!C31="","",'01_Rychla_kalkulace'!D31)</x:f>
      </x:c>
      <x:c r="E17" s="146" t="str">
        <x:f>IF('01_Rychla_kalkulace'!C31="","",'01_Rychla_kalkulace'!K31)</x:f>
      </x:c>
      <x:c r="F17" s="143" t="str">
        <x:f>IF('01_Rychla_kalkulace'!C31="","","m2")</x:f>
      </x:c>
      <x:c r="G17" s="145" t="str">
        <x:f>IF('01_Rychla_kalkulace'!C31="","",'01_Rychla_kalkulace'!L31)</x:f>
      </x:c>
      <x:c r="H17" s="145" t="str">
        <x:f>IF('01_Rychla_kalkulace'!C31="","",'01_Rychla_kalkulace'!M31)</x:f>
      </x:c>
      <x:c r="I17" s="143" t="str">
        <x:f>IF('01_Rychla_kalkulace'!C31="","",TRUE)</x:f>
      </x:c>
      <x:c r="J17" s="143" t="str">
        <x:f>IF('01_Rychla_kalkulace'!C31="","","AI_EXTRACTED_PANEL")</x:f>
      </x:c>
      <x:c r="K17" s="128" t="str">
        <x:f>IF('01_Rychla_kalkulace'!C31="","","Standardní odpočet otvorů "&amp;TEXT('01_Rychla_kalkulace'!J31,"0%"))</x:f>
      </x:c>
    </x:row>
    <x:row r="18">
      <x:c r="A18" s="143" t="str">
        <x:f>IF('01_Rychla_kalkulace'!C32="","",12)</x:f>
      </x:c>
      <x:c r="B18" s="143" t="str">
        <x:f>IF('01_Rychla_kalkulace'!C32="","","PANEL")</x:f>
      </x:c>
      <x:c r="C18" s="143" t="str">
        <x:f>IF('01_Rychla_kalkulace'!C32="","",'01_Rychla_kalkulace'!C32)</x:f>
      </x:c>
      <x:c r="D18" s="128" t="str">
        <x:f>IF('01_Rychla_kalkulace'!C32="","",'01_Rychla_kalkulace'!D32)</x:f>
      </x:c>
      <x:c r="E18" s="146" t="str">
        <x:f>IF('01_Rychla_kalkulace'!C32="","",'01_Rychla_kalkulace'!K32)</x:f>
      </x:c>
      <x:c r="F18" s="143" t="str">
        <x:f>IF('01_Rychla_kalkulace'!C32="","","m2")</x:f>
      </x:c>
      <x:c r="G18" s="145" t="str">
        <x:f>IF('01_Rychla_kalkulace'!C32="","",'01_Rychla_kalkulace'!L32)</x:f>
      </x:c>
      <x:c r="H18" s="145" t="str">
        <x:f>IF('01_Rychla_kalkulace'!C32="","",'01_Rychla_kalkulace'!M32)</x:f>
      </x:c>
      <x:c r="I18" s="143" t="str">
        <x:f>IF('01_Rychla_kalkulace'!C32="","",TRUE)</x:f>
      </x:c>
      <x:c r="J18" s="143" t="str">
        <x:f>IF('01_Rychla_kalkulace'!C32="","","AI_EXTRACTED_PANEL")</x:f>
      </x:c>
      <x:c r="K18" s="128" t="str">
        <x:f>IF('01_Rychla_kalkulace'!C32="","","Standardní odpočet otvorů "&amp;TEXT('01_Rychla_kalkulace'!J32,"0%"))</x:f>
      </x:c>
    </x:row>
    <x:row r="19">
      <x:c r="A19" s="143" t="str">
        <x:f>IF('01_Rychla_kalkulace'!C33="","",13)</x:f>
      </x:c>
      <x:c r="B19" s="143" t="str">
        <x:f>IF('01_Rychla_kalkulace'!C33="","","PANEL")</x:f>
      </x:c>
      <x:c r="C19" s="143" t="str">
        <x:f>IF('01_Rychla_kalkulace'!C33="","",'01_Rychla_kalkulace'!C33)</x:f>
      </x:c>
      <x:c r="D19" s="128" t="str">
        <x:f>IF('01_Rychla_kalkulace'!C33="","",'01_Rychla_kalkulace'!D33)</x:f>
      </x:c>
      <x:c r="E19" s="146" t="str">
        <x:f>IF('01_Rychla_kalkulace'!C33="","",'01_Rychla_kalkulace'!K33)</x:f>
      </x:c>
      <x:c r="F19" s="143" t="str">
        <x:f>IF('01_Rychla_kalkulace'!C33="","","m2")</x:f>
      </x:c>
      <x:c r="G19" s="145" t="str">
        <x:f>IF('01_Rychla_kalkulace'!C33="","",'01_Rychla_kalkulace'!L33)</x:f>
      </x:c>
      <x:c r="H19" s="145" t="str">
        <x:f>IF('01_Rychla_kalkulace'!C33="","",'01_Rychla_kalkulace'!M33)</x:f>
      </x:c>
      <x:c r="I19" s="143" t="str">
        <x:f>IF('01_Rychla_kalkulace'!C33="","",TRUE)</x:f>
      </x:c>
      <x:c r="J19" s="143" t="str">
        <x:f>IF('01_Rychla_kalkulace'!C33="","","AI_EXTRACTED_PANEL")</x:f>
      </x:c>
      <x:c r="K19" s="128" t="str">
        <x:f>IF('01_Rychla_kalkulace'!C33="","","Standardní odpočet otvorů "&amp;TEXT('01_Rychla_kalkulace'!J33,"0%"))</x:f>
      </x:c>
    </x:row>
    <x:row r="20">
      <x:c r="A20" s="143" t="str">
        <x:f>IF('01_Rychla_kalkulace'!C34="","",14)</x:f>
      </x:c>
      <x:c r="B20" s="143" t="str">
        <x:f>IF('01_Rychla_kalkulace'!C34="","","PANEL")</x:f>
      </x:c>
      <x:c r="C20" s="143" t="str">
        <x:f>IF('01_Rychla_kalkulace'!C34="","",'01_Rychla_kalkulace'!C34)</x:f>
      </x:c>
      <x:c r="D20" s="128" t="str">
        <x:f>IF('01_Rychla_kalkulace'!C34="","",'01_Rychla_kalkulace'!D34)</x:f>
      </x:c>
      <x:c r="E20" s="146" t="str">
        <x:f>IF('01_Rychla_kalkulace'!C34="","",'01_Rychla_kalkulace'!K34)</x:f>
      </x:c>
      <x:c r="F20" s="143" t="str">
        <x:f>IF('01_Rychla_kalkulace'!C34="","","m2")</x:f>
      </x:c>
      <x:c r="G20" s="145" t="str">
        <x:f>IF('01_Rychla_kalkulace'!C34="","",'01_Rychla_kalkulace'!L34)</x:f>
      </x:c>
      <x:c r="H20" s="145" t="str">
        <x:f>IF('01_Rychla_kalkulace'!C34="","",'01_Rychla_kalkulace'!M34)</x:f>
      </x:c>
      <x:c r="I20" s="143" t="str">
        <x:f>IF('01_Rychla_kalkulace'!C34="","",TRUE)</x:f>
      </x:c>
      <x:c r="J20" s="143" t="str">
        <x:f>IF('01_Rychla_kalkulace'!C34="","","AI_EXTRACTED_PANEL")</x:f>
      </x:c>
      <x:c r="K20" s="128" t="str">
        <x:f>IF('01_Rychla_kalkulace'!C34="","","Standardní odpočet otvorů "&amp;TEXT('01_Rychla_kalkulace'!J34,"0%"))</x:f>
      </x:c>
    </x:row>
    <x:row r="21">
      <x:c r="A21" s="143" t="str">
        <x:f>IF('01_Rychla_kalkulace'!C35="","",15)</x:f>
      </x:c>
      <x:c r="B21" s="143" t="str">
        <x:f>IF('01_Rychla_kalkulace'!C35="","","PANEL")</x:f>
      </x:c>
      <x:c r="C21" s="143" t="str">
        <x:f>IF('01_Rychla_kalkulace'!C35="","",'01_Rychla_kalkulace'!C35)</x:f>
      </x:c>
      <x:c r="D21" s="128" t="str">
        <x:f>IF('01_Rychla_kalkulace'!C35="","",'01_Rychla_kalkulace'!D35)</x:f>
      </x:c>
      <x:c r="E21" s="146" t="str">
        <x:f>IF('01_Rychla_kalkulace'!C35="","",'01_Rychla_kalkulace'!K35)</x:f>
      </x:c>
      <x:c r="F21" s="143" t="str">
        <x:f>IF('01_Rychla_kalkulace'!C35="","","m2")</x:f>
      </x:c>
      <x:c r="G21" s="145" t="str">
        <x:f>IF('01_Rychla_kalkulace'!C35="","",'01_Rychla_kalkulace'!L35)</x:f>
      </x:c>
      <x:c r="H21" s="145" t="str">
        <x:f>IF('01_Rychla_kalkulace'!C35="","",'01_Rychla_kalkulace'!M35)</x:f>
      </x:c>
      <x:c r="I21" s="143" t="str">
        <x:f>IF('01_Rychla_kalkulace'!C35="","",TRUE)</x:f>
      </x:c>
      <x:c r="J21" s="143" t="str">
        <x:f>IF('01_Rychla_kalkulace'!C35="","","AI_EXTRACTED_PANEL")</x:f>
      </x:c>
      <x:c r="K21" s="128" t="str">
        <x:f>IF('01_Rychla_kalkulace'!C35="","","Standardní odpočet otvorů "&amp;TEXT('01_Rychla_kalkulace'!J35,"0%"))</x:f>
      </x:c>
    </x:row>
    <x:row r="22">
      <x:c r="A22" s="143" t="str">
        <x:f>IF('01_Rychla_kalkulace'!C36="","",16)</x:f>
      </x:c>
      <x:c r="B22" s="143" t="str">
        <x:f>IF('01_Rychla_kalkulace'!C36="","","PANEL")</x:f>
      </x:c>
      <x:c r="C22" s="143" t="str">
        <x:f>IF('01_Rychla_kalkulace'!C36="","",'01_Rychla_kalkulace'!C36)</x:f>
      </x:c>
      <x:c r="D22" s="128" t="str">
        <x:f>IF('01_Rychla_kalkulace'!C36="","",'01_Rychla_kalkulace'!D36)</x:f>
      </x:c>
      <x:c r="E22" s="146" t="str">
        <x:f>IF('01_Rychla_kalkulace'!C36="","",'01_Rychla_kalkulace'!K36)</x:f>
      </x:c>
      <x:c r="F22" s="143" t="str">
        <x:f>IF('01_Rychla_kalkulace'!C36="","","m2")</x:f>
      </x:c>
      <x:c r="G22" s="145" t="str">
        <x:f>IF('01_Rychla_kalkulace'!C36="","",'01_Rychla_kalkulace'!L36)</x:f>
      </x:c>
      <x:c r="H22" s="145" t="str">
        <x:f>IF('01_Rychla_kalkulace'!C36="","",'01_Rychla_kalkulace'!M36)</x:f>
      </x:c>
      <x:c r="I22" s="143" t="str">
        <x:f>IF('01_Rychla_kalkulace'!C36="","",TRUE)</x:f>
      </x:c>
      <x:c r="J22" s="143" t="str">
        <x:f>IF('01_Rychla_kalkulace'!C36="","","AI_EXTRACTED_PANEL")</x:f>
      </x:c>
      <x:c r="K22" s="128" t="str">
        <x:f>IF('01_Rychla_kalkulace'!C36="","","Standardní odpočet otvorů "&amp;TEXT('01_Rychla_kalkulace'!J36,"0%"))</x:f>
      </x:c>
    </x:row>
    <x:row r="23">
      <x:c r="A23" s="143" t="str">
        <x:f>IF('01_Rychla_kalkulace'!C37="","",17)</x:f>
      </x:c>
      <x:c r="B23" s="143" t="str">
        <x:f>IF('01_Rychla_kalkulace'!C37="","","PANEL")</x:f>
      </x:c>
      <x:c r="C23" s="143" t="str">
        <x:f>IF('01_Rychla_kalkulace'!C37="","",'01_Rychla_kalkulace'!C37)</x:f>
      </x:c>
      <x:c r="D23" s="128" t="str">
        <x:f>IF('01_Rychla_kalkulace'!C37="","",'01_Rychla_kalkulace'!D37)</x:f>
      </x:c>
      <x:c r="E23" s="146" t="str">
        <x:f>IF('01_Rychla_kalkulace'!C37="","",'01_Rychla_kalkulace'!K37)</x:f>
      </x:c>
      <x:c r="F23" s="143" t="str">
        <x:f>IF('01_Rychla_kalkulace'!C37="","","m2")</x:f>
      </x:c>
      <x:c r="G23" s="145" t="str">
        <x:f>IF('01_Rychla_kalkulace'!C37="","",'01_Rychla_kalkulace'!L37)</x:f>
      </x:c>
      <x:c r="H23" s="145" t="str">
        <x:f>IF('01_Rychla_kalkulace'!C37="","",'01_Rychla_kalkulace'!M37)</x:f>
      </x:c>
      <x:c r="I23" s="143" t="str">
        <x:f>IF('01_Rychla_kalkulace'!C37="","",TRUE)</x:f>
      </x:c>
      <x:c r="J23" s="143" t="str">
        <x:f>IF('01_Rychla_kalkulace'!C37="","","AI_EXTRACTED_PANEL")</x:f>
      </x:c>
      <x:c r="K23" s="128" t="str">
        <x:f>IF('01_Rychla_kalkulace'!C37="","","Standardní odpočet otvorů "&amp;TEXT('01_Rychla_kalkulace'!J37,"0%"))</x:f>
      </x:c>
    </x:row>
    <x:row r="24">
      <x:c r="A24" s="143" t="str">
        <x:f>IF('01_Rychla_kalkulace'!C38="","",18)</x:f>
      </x:c>
      <x:c r="B24" s="143" t="str">
        <x:f>IF('01_Rychla_kalkulace'!C38="","","PANEL")</x:f>
      </x:c>
      <x:c r="C24" s="143" t="str">
        <x:f>IF('01_Rychla_kalkulace'!C38="","",'01_Rychla_kalkulace'!C38)</x:f>
      </x:c>
      <x:c r="D24" s="128" t="str">
        <x:f>IF('01_Rychla_kalkulace'!C38="","",'01_Rychla_kalkulace'!D38)</x:f>
      </x:c>
      <x:c r="E24" s="146" t="str">
        <x:f>IF('01_Rychla_kalkulace'!C38="","",'01_Rychla_kalkulace'!K38)</x:f>
      </x:c>
      <x:c r="F24" s="143" t="str">
        <x:f>IF('01_Rychla_kalkulace'!C38="","","m2")</x:f>
      </x:c>
      <x:c r="G24" s="145" t="str">
        <x:f>IF('01_Rychla_kalkulace'!C38="","",'01_Rychla_kalkulace'!L38)</x:f>
      </x:c>
      <x:c r="H24" s="145" t="str">
        <x:f>IF('01_Rychla_kalkulace'!C38="","",'01_Rychla_kalkulace'!M38)</x:f>
      </x:c>
      <x:c r="I24" s="143" t="str">
        <x:f>IF('01_Rychla_kalkulace'!C38="","",TRUE)</x:f>
      </x:c>
      <x:c r="J24" s="143" t="str">
        <x:f>IF('01_Rychla_kalkulace'!C38="","","AI_EXTRACTED_PANEL")</x:f>
      </x:c>
      <x:c r="K24" s="128" t="str">
        <x:f>IF('01_Rychla_kalkulace'!C38="","","Standardní odpočet otvorů "&amp;TEXT('01_Rychla_kalkulace'!J38,"0%"))</x:f>
      </x:c>
    </x:row>
    <x:row r="25">
      <x:c r="A25" s="143" t="str">
        <x:f>IF('01_Rychla_kalkulace'!C39="","",19)</x:f>
      </x:c>
      <x:c r="B25" s="143" t="str">
        <x:f>IF('01_Rychla_kalkulace'!C39="","","PANEL")</x:f>
      </x:c>
      <x:c r="C25" s="143" t="str">
        <x:f>IF('01_Rychla_kalkulace'!C39="","",'01_Rychla_kalkulace'!C39)</x:f>
      </x:c>
      <x:c r="D25" s="128" t="str">
        <x:f>IF('01_Rychla_kalkulace'!C39="","",'01_Rychla_kalkulace'!D39)</x:f>
      </x:c>
      <x:c r="E25" s="146" t="str">
        <x:f>IF('01_Rychla_kalkulace'!C39="","",'01_Rychla_kalkulace'!K39)</x:f>
      </x:c>
      <x:c r="F25" s="143" t="str">
        <x:f>IF('01_Rychla_kalkulace'!C39="","","m2")</x:f>
      </x:c>
      <x:c r="G25" s="145" t="str">
        <x:f>IF('01_Rychla_kalkulace'!C39="","",'01_Rychla_kalkulace'!L39)</x:f>
      </x:c>
      <x:c r="H25" s="145" t="str">
        <x:f>IF('01_Rychla_kalkulace'!C39="","",'01_Rychla_kalkulace'!M39)</x:f>
      </x:c>
      <x:c r="I25" s="143" t="str">
        <x:f>IF('01_Rychla_kalkulace'!C39="","",TRUE)</x:f>
      </x:c>
      <x:c r="J25" s="143" t="str">
        <x:f>IF('01_Rychla_kalkulace'!C39="","","AI_EXTRACTED_PANEL")</x:f>
      </x:c>
      <x:c r="K25" s="128" t="str">
        <x:f>IF('01_Rychla_kalkulace'!C39="","","Standardní odpočet otvorů "&amp;TEXT('01_Rychla_kalkulace'!J39,"0%"))</x:f>
      </x:c>
    </x:row>
    <x:row r="26">
      <x:c r="A26" s="143" t="str">
        <x:f>IF('01_Rychla_kalkulace'!C40="","",20)</x:f>
      </x:c>
      <x:c r="B26" s="143" t="str">
        <x:f>IF('01_Rychla_kalkulace'!C40="","","PANEL")</x:f>
      </x:c>
      <x:c r="C26" s="143" t="str">
        <x:f>IF('01_Rychla_kalkulace'!C40="","",'01_Rychla_kalkulace'!C40)</x:f>
      </x:c>
      <x:c r="D26" s="128" t="str">
        <x:f>IF('01_Rychla_kalkulace'!C40="","",'01_Rychla_kalkulace'!D40)</x:f>
      </x:c>
      <x:c r="E26" s="146" t="str">
        <x:f>IF('01_Rychla_kalkulace'!C40="","",'01_Rychla_kalkulace'!K40)</x:f>
      </x:c>
      <x:c r="F26" s="143" t="str">
        <x:f>IF('01_Rychla_kalkulace'!C40="","","m2")</x:f>
      </x:c>
      <x:c r="G26" s="145" t="str">
        <x:f>IF('01_Rychla_kalkulace'!C40="","",'01_Rychla_kalkulace'!L40)</x:f>
      </x:c>
      <x:c r="H26" s="145" t="str">
        <x:f>IF('01_Rychla_kalkulace'!C40="","",'01_Rychla_kalkulace'!M40)</x:f>
      </x:c>
      <x:c r="I26" s="143" t="str">
        <x:f>IF('01_Rychla_kalkulace'!C40="","",TRUE)</x:f>
      </x:c>
      <x:c r="J26" s="143" t="str">
        <x:f>IF('01_Rychla_kalkulace'!C40="","","AI_EXTRACTED_PANEL")</x:f>
      </x:c>
      <x:c r="K26" s="128" t="str">
        <x:f>IF('01_Rychla_kalkulace'!C40="","","Standardní odpočet otvorů "&amp;TEXT('01_Rychla_kalkulace'!J40,"0%"))</x:f>
      </x:c>
    </x:row>
    <x:row r="27">
      <x:c r="A27" s="143" t="str">
        <x:f>IF('01_Rychla_kalkulace'!C41="","",21)</x:f>
      </x:c>
      <x:c r="B27" s="143" t="str">
        <x:f>IF('01_Rychla_kalkulace'!C41="","","PANEL")</x:f>
      </x:c>
      <x:c r="C27" s="143" t="str">
        <x:f>IF('01_Rychla_kalkulace'!C41="","",'01_Rychla_kalkulace'!C41)</x:f>
      </x:c>
      <x:c r="D27" s="128" t="str">
        <x:f>IF('01_Rychla_kalkulace'!C41="","",'01_Rychla_kalkulace'!D41)</x:f>
      </x:c>
      <x:c r="E27" s="146" t="str">
        <x:f>IF('01_Rychla_kalkulace'!C41="","",'01_Rychla_kalkulace'!K41)</x:f>
      </x:c>
      <x:c r="F27" s="143" t="str">
        <x:f>IF('01_Rychla_kalkulace'!C41="","","m2")</x:f>
      </x:c>
      <x:c r="G27" s="145" t="str">
        <x:f>IF('01_Rychla_kalkulace'!C41="","",'01_Rychla_kalkulace'!L41)</x:f>
      </x:c>
      <x:c r="H27" s="145" t="str">
        <x:f>IF('01_Rychla_kalkulace'!C41="","",'01_Rychla_kalkulace'!M41)</x:f>
      </x:c>
      <x:c r="I27" s="143" t="str">
        <x:f>IF('01_Rychla_kalkulace'!C41="","",TRUE)</x:f>
      </x:c>
      <x:c r="J27" s="143" t="str">
        <x:f>IF('01_Rychla_kalkulace'!C41="","","AI_EXTRACTED_PANEL")</x:f>
      </x:c>
      <x:c r="K27" s="128" t="str">
        <x:f>IF('01_Rychla_kalkulace'!C41="","","Standardní odpočet otvorů "&amp;TEXT('01_Rychla_kalkulace'!J41,"0%"))</x:f>
      </x:c>
    </x:row>
    <x:row r="28">
      <x:c r="A28" s="143" t="str">
        <x:f>IF('01_Rychla_kalkulace'!C42="","",22)</x:f>
      </x:c>
      <x:c r="B28" s="143" t="str">
        <x:f>IF('01_Rychla_kalkulace'!C42="","","PANEL")</x:f>
      </x:c>
      <x:c r="C28" s="143" t="str">
        <x:f>IF('01_Rychla_kalkulace'!C42="","",'01_Rychla_kalkulace'!C42)</x:f>
      </x:c>
      <x:c r="D28" s="128" t="str">
        <x:f>IF('01_Rychla_kalkulace'!C42="","",'01_Rychla_kalkulace'!D42)</x:f>
      </x:c>
      <x:c r="E28" s="146" t="str">
        <x:f>IF('01_Rychla_kalkulace'!C42="","",'01_Rychla_kalkulace'!K42)</x:f>
      </x:c>
      <x:c r="F28" s="143" t="str">
        <x:f>IF('01_Rychla_kalkulace'!C42="","","m2")</x:f>
      </x:c>
      <x:c r="G28" s="145" t="str">
        <x:f>IF('01_Rychla_kalkulace'!C42="","",'01_Rychla_kalkulace'!L42)</x:f>
      </x:c>
      <x:c r="H28" s="145" t="str">
        <x:f>IF('01_Rychla_kalkulace'!C42="","",'01_Rychla_kalkulace'!M42)</x:f>
      </x:c>
      <x:c r="I28" s="143" t="str">
        <x:f>IF('01_Rychla_kalkulace'!C42="","",TRUE)</x:f>
      </x:c>
      <x:c r="J28" s="143" t="str">
        <x:f>IF('01_Rychla_kalkulace'!C42="","","AI_EXTRACTED_PANEL")</x:f>
      </x:c>
      <x:c r="K28" s="128" t="str">
        <x:f>IF('01_Rychla_kalkulace'!C42="","","Standardní odpočet otvorů "&amp;TEXT('01_Rychla_kalkulace'!J42,"0%"))</x:f>
      </x:c>
    </x:row>
    <x:row r="29">
      <x:c r="A29" s="143" t="str">
        <x:f>IF('01_Rychla_kalkulace'!C43="","",23)</x:f>
      </x:c>
      <x:c r="B29" s="143" t="str">
        <x:f>IF('01_Rychla_kalkulace'!C43="","","PANEL")</x:f>
      </x:c>
      <x:c r="C29" s="143" t="str">
        <x:f>IF('01_Rychla_kalkulace'!C43="","",'01_Rychla_kalkulace'!C43)</x:f>
      </x:c>
      <x:c r="D29" s="128" t="str">
        <x:f>IF('01_Rychla_kalkulace'!C43="","",'01_Rychla_kalkulace'!D43)</x:f>
      </x:c>
      <x:c r="E29" s="146" t="str">
        <x:f>IF('01_Rychla_kalkulace'!C43="","",'01_Rychla_kalkulace'!K43)</x:f>
      </x:c>
      <x:c r="F29" s="143" t="str">
        <x:f>IF('01_Rychla_kalkulace'!C43="","","m2")</x:f>
      </x:c>
      <x:c r="G29" s="145" t="str">
        <x:f>IF('01_Rychla_kalkulace'!C43="","",'01_Rychla_kalkulace'!L43)</x:f>
      </x:c>
      <x:c r="H29" s="145" t="str">
        <x:f>IF('01_Rychla_kalkulace'!C43="","",'01_Rychla_kalkulace'!M43)</x:f>
      </x:c>
      <x:c r="I29" s="143" t="str">
        <x:f>IF('01_Rychla_kalkulace'!C43="","",TRUE)</x:f>
      </x:c>
      <x:c r="J29" s="143" t="str">
        <x:f>IF('01_Rychla_kalkulace'!C43="","","AI_EXTRACTED_PANEL")</x:f>
      </x:c>
      <x:c r="K29" s="128" t="str">
        <x:f>IF('01_Rychla_kalkulace'!C43="","","Standardní odpočet otvorů "&amp;TEXT('01_Rychla_kalkulace'!J43,"0%"))</x:f>
      </x:c>
    </x:row>
    <x:row r="30">
      <x:c r="A30" s="143" t="str">
        <x:f>IF('01_Rychla_kalkulace'!C44="","",24)</x:f>
      </x:c>
      <x:c r="B30" s="143" t="str">
        <x:f>IF('01_Rychla_kalkulace'!C44="","","PANEL")</x:f>
      </x:c>
      <x:c r="C30" s="143" t="str">
        <x:f>IF('01_Rychla_kalkulace'!C44="","",'01_Rychla_kalkulace'!C44)</x:f>
      </x:c>
      <x:c r="D30" s="128" t="str">
        <x:f>IF('01_Rychla_kalkulace'!C44="","",'01_Rychla_kalkulace'!D44)</x:f>
      </x:c>
      <x:c r="E30" s="146" t="str">
        <x:f>IF('01_Rychla_kalkulace'!C44="","",'01_Rychla_kalkulace'!K44)</x:f>
      </x:c>
      <x:c r="F30" s="143" t="str">
        <x:f>IF('01_Rychla_kalkulace'!C44="","","m2")</x:f>
      </x:c>
      <x:c r="G30" s="145" t="str">
        <x:f>IF('01_Rychla_kalkulace'!C44="","",'01_Rychla_kalkulace'!L44)</x:f>
      </x:c>
      <x:c r="H30" s="145" t="str">
        <x:f>IF('01_Rychla_kalkulace'!C44="","",'01_Rychla_kalkulace'!M44)</x:f>
      </x:c>
      <x:c r="I30" s="143" t="str">
        <x:f>IF('01_Rychla_kalkulace'!C44="","",TRUE)</x:f>
      </x:c>
      <x:c r="J30" s="143" t="str">
        <x:f>IF('01_Rychla_kalkulace'!C44="","","AI_EXTRACTED_PANEL")</x:f>
      </x:c>
      <x:c r="K30" s="128" t="str">
        <x:f>IF('01_Rychla_kalkulace'!C44="","","Standardní odpočet otvorů "&amp;TEXT('01_Rychla_kalkulace'!J44,"0%"))</x:f>
      </x:c>
    </x:row>
    <x:row r="31">
      <x:c r="A31" s="143" t="str">
        <x:f>IF('01_Rychla_kalkulace'!C45="","",25)</x:f>
      </x:c>
      <x:c r="B31" s="143" t="str">
        <x:f>IF('01_Rychla_kalkulace'!C45="","","PANEL")</x:f>
      </x:c>
      <x:c r="C31" s="143" t="str">
        <x:f>IF('01_Rychla_kalkulace'!C45="","",'01_Rychla_kalkulace'!C45)</x:f>
      </x:c>
      <x:c r="D31" s="128" t="str">
        <x:f>IF('01_Rychla_kalkulace'!C45="","",'01_Rychla_kalkulace'!D45)</x:f>
      </x:c>
      <x:c r="E31" s="146" t="str">
        <x:f>IF('01_Rychla_kalkulace'!C45="","",'01_Rychla_kalkulace'!K45)</x:f>
      </x:c>
      <x:c r="F31" s="143" t="str">
        <x:f>IF('01_Rychla_kalkulace'!C45="","","m2")</x:f>
      </x:c>
      <x:c r="G31" s="145" t="str">
        <x:f>IF('01_Rychla_kalkulace'!C45="","",'01_Rychla_kalkulace'!L45)</x:f>
      </x:c>
      <x:c r="H31" s="145" t="str">
        <x:f>IF('01_Rychla_kalkulace'!C45="","",'01_Rychla_kalkulace'!M45)</x:f>
      </x:c>
      <x:c r="I31" s="143" t="str">
        <x:f>IF('01_Rychla_kalkulace'!C45="","",TRUE)</x:f>
      </x:c>
      <x:c r="J31" s="143" t="str">
        <x:f>IF('01_Rychla_kalkulace'!C45="","","AI_EXTRACTED_PANEL")</x:f>
      </x:c>
      <x:c r="K31" s="128" t="str">
        <x:f>IF('01_Rychla_kalkulace'!C45="","","Standardní odpočet otvorů "&amp;TEXT('01_Rychla_kalkulace'!J45,"0%"))</x:f>
      </x:c>
    </x:row>
    <x:row r="32">
      <x:c r="A32" s="143" t="str">
        <x:f>IF('01_Rychla_kalkulace'!C46="","",26)</x:f>
      </x:c>
      <x:c r="B32" s="143" t="str">
        <x:f>IF('01_Rychla_kalkulace'!C46="","","PANEL")</x:f>
      </x:c>
      <x:c r="C32" s="143" t="str">
        <x:f>IF('01_Rychla_kalkulace'!C46="","",'01_Rychla_kalkulace'!C46)</x:f>
      </x:c>
      <x:c r="D32" s="128" t="str">
        <x:f>IF('01_Rychla_kalkulace'!C46="","",'01_Rychla_kalkulace'!D46)</x:f>
      </x:c>
      <x:c r="E32" s="146" t="str">
        <x:f>IF('01_Rychla_kalkulace'!C46="","",'01_Rychla_kalkulace'!K46)</x:f>
      </x:c>
      <x:c r="F32" s="143" t="str">
        <x:f>IF('01_Rychla_kalkulace'!C46="","","m2")</x:f>
      </x:c>
      <x:c r="G32" s="145" t="str">
        <x:f>IF('01_Rychla_kalkulace'!C46="","",'01_Rychla_kalkulace'!L46)</x:f>
      </x:c>
      <x:c r="H32" s="145" t="str">
        <x:f>IF('01_Rychla_kalkulace'!C46="","",'01_Rychla_kalkulace'!M46)</x:f>
      </x:c>
      <x:c r="I32" s="143" t="str">
        <x:f>IF('01_Rychla_kalkulace'!C46="","",TRUE)</x:f>
      </x:c>
      <x:c r="J32" s="143" t="str">
        <x:f>IF('01_Rychla_kalkulace'!C46="","","AI_EXTRACTED_PANEL")</x:f>
      </x:c>
      <x:c r="K32" s="128" t="str">
        <x:f>IF('01_Rychla_kalkulace'!C46="","","Standardní odpočet otvorů "&amp;TEXT('01_Rychla_kalkulace'!J46,"0%"))</x:f>
      </x:c>
    </x:row>
    <x:row r="33">
      <x:c r="A33" s="143" t="str">
        <x:f>IF('01_Rychla_kalkulace'!C47="","",27)</x:f>
      </x:c>
      <x:c r="B33" s="143" t="str">
        <x:f>IF('01_Rychla_kalkulace'!C47="","","PANEL")</x:f>
      </x:c>
      <x:c r="C33" s="143" t="str">
        <x:f>IF('01_Rychla_kalkulace'!C47="","",'01_Rychla_kalkulace'!C47)</x:f>
      </x:c>
      <x:c r="D33" s="128" t="str">
        <x:f>IF('01_Rychla_kalkulace'!C47="","",'01_Rychla_kalkulace'!D47)</x:f>
      </x:c>
      <x:c r="E33" s="146" t="str">
        <x:f>IF('01_Rychla_kalkulace'!C47="","",'01_Rychla_kalkulace'!K47)</x:f>
      </x:c>
      <x:c r="F33" s="143" t="str">
        <x:f>IF('01_Rychla_kalkulace'!C47="","","m2")</x:f>
      </x:c>
      <x:c r="G33" s="145" t="str">
        <x:f>IF('01_Rychla_kalkulace'!C47="","",'01_Rychla_kalkulace'!L47)</x:f>
      </x:c>
      <x:c r="H33" s="145" t="str">
        <x:f>IF('01_Rychla_kalkulace'!C47="","",'01_Rychla_kalkulace'!M47)</x:f>
      </x:c>
      <x:c r="I33" s="143" t="str">
        <x:f>IF('01_Rychla_kalkulace'!C47="","",TRUE)</x:f>
      </x:c>
      <x:c r="J33" s="143" t="str">
        <x:f>IF('01_Rychla_kalkulace'!C47="","","AI_EXTRACTED_PANEL")</x:f>
      </x:c>
      <x:c r="K33" s="128" t="str">
        <x:f>IF('01_Rychla_kalkulace'!C47="","","Standardní odpočet otvorů "&amp;TEXT('01_Rychla_kalkulace'!J47,"0%"))</x:f>
      </x:c>
    </x:row>
    <x:row r="34">
      <x:c r="A34" s="143" t="str">
        <x:f>IF('01_Rychla_kalkulace'!C48="","",28)</x:f>
      </x:c>
      <x:c r="B34" s="143" t="str">
        <x:f>IF('01_Rychla_kalkulace'!C48="","","PANEL")</x:f>
      </x:c>
      <x:c r="C34" s="143" t="str">
        <x:f>IF('01_Rychla_kalkulace'!C48="","",'01_Rychla_kalkulace'!C48)</x:f>
      </x:c>
      <x:c r="D34" s="128" t="str">
        <x:f>IF('01_Rychla_kalkulace'!C48="","",'01_Rychla_kalkulace'!D48)</x:f>
      </x:c>
      <x:c r="E34" s="146" t="str">
        <x:f>IF('01_Rychla_kalkulace'!C48="","",'01_Rychla_kalkulace'!K48)</x:f>
      </x:c>
      <x:c r="F34" s="143" t="str">
        <x:f>IF('01_Rychla_kalkulace'!C48="","","m2")</x:f>
      </x:c>
      <x:c r="G34" s="145" t="str">
        <x:f>IF('01_Rychla_kalkulace'!C48="","",'01_Rychla_kalkulace'!L48)</x:f>
      </x:c>
      <x:c r="H34" s="145" t="str">
        <x:f>IF('01_Rychla_kalkulace'!C48="","",'01_Rychla_kalkulace'!M48)</x:f>
      </x:c>
      <x:c r="I34" s="143" t="str">
        <x:f>IF('01_Rychla_kalkulace'!C48="","",TRUE)</x:f>
      </x:c>
      <x:c r="J34" s="143" t="str">
        <x:f>IF('01_Rychla_kalkulace'!C48="","","AI_EXTRACTED_PANEL")</x:f>
      </x:c>
      <x:c r="K34" s="128" t="str">
        <x:f>IF('01_Rychla_kalkulace'!C48="","","Standardní odpočet otvorů "&amp;TEXT('01_Rychla_kalkulace'!J48,"0%"))</x:f>
      </x:c>
    </x:row>
    <x:row r="35">
      <x:c r="A35" s="143" t="str">
        <x:f>IF('01_Rychla_kalkulace'!C49="","",29)</x:f>
      </x:c>
      <x:c r="B35" s="143" t="str">
        <x:f>IF('01_Rychla_kalkulace'!C49="","","PANEL")</x:f>
      </x:c>
      <x:c r="C35" s="143" t="str">
        <x:f>IF('01_Rychla_kalkulace'!C49="","",'01_Rychla_kalkulace'!C49)</x:f>
      </x:c>
      <x:c r="D35" s="128" t="str">
        <x:f>IF('01_Rychla_kalkulace'!C49="","",'01_Rychla_kalkulace'!D49)</x:f>
      </x:c>
      <x:c r="E35" s="146" t="str">
        <x:f>IF('01_Rychla_kalkulace'!C49="","",'01_Rychla_kalkulace'!K49)</x:f>
      </x:c>
      <x:c r="F35" s="143" t="str">
        <x:f>IF('01_Rychla_kalkulace'!C49="","","m2")</x:f>
      </x:c>
      <x:c r="G35" s="145" t="str">
        <x:f>IF('01_Rychla_kalkulace'!C49="","",'01_Rychla_kalkulace'!L49)</x:f>
      </x:c>
      <x:c r="H35" s="145" t="str">
        <x:f>IF('01_Rychla_kalkulace'!C49="","",'01_Rychla_kalkulace'!M49)</x:f>
      </x:c>
      <x:c r="I35" s="143" t="str">
        <x:f>IF('01_Rychla_kalkulace'!C49="","",TRUE)</x:f>
      </x:c>
      <x:c r="J35" s="143" t="str">
        <x:f>IF('01_Rychla_kalkulace'!C49="","","AI_EXTRACTED_PANEL")</x:f>
      </x:c>
      <x:c r="K35" s="128" t="str">
        <x:f>IF('01_Rychla_kalkulace'!C49="","","Standardní odpočet otvorů "&amp;TEXT('01_Rychla_kalkulace'!J49,"0%"))</x:f>
      </x:c>
    </x:row>
    <x:row r="36">
      <x:c r="A36" s="143" t="str">
        <x:f>IF('01_Rychla_kalkulace'!C50="","",30)</x:f>
      </x:c>
      <x:c r="B36" s="143" t="str">
        <x:f>IF('01_Rychla_kalkulace'!C50="","","PANEL")</x:f>
      </x:c>
      <x:c r="C36" s="143" t="str">
        <x:f>IF('01_Rychla_kalkulace'!C50="","",'01_Rychla_kalkulace'!C50)</x:f>
      </x:c>
      <x:c r="D36" s="128" t="str">
        <x:f>IF('01_Rychla_kalkulace'!C50="","",'01_Rychla_kalkulace'!D50)</x:f>
      </x:c>
      <x:c r="E36" s="146" t="str">
        <x:f>IF('01_Rychla_kalkulace'!C50="","",'01_Rychla_kalkulace'!K50)</x:f>
      </x:c>
      <x:c r="F36" s="143" t="str">
        <x:f>IF('01_Rychla_kalkulace'!C50="","","m2")</x:f>
      </x:c>
      <x:c r="G36" s="145" t="str">
        <x:f>IF('01_Rychla_kalkulace'!C50="","",'01_Rychla_kalkulace'!L50)</x:f>
      </x:c>
      <x:c r="H36" s="145" t="str">
        <x:f>IF('01_Rychla_kalkulace'!C50="","",'01_Rychla_kalkulace'!M50)</x:f>
      </x:c>
      <x:c r="I36" s="143" t="str">
        <x:f>IF('01_Rychla_kalkulace'!C50="","",TRUE)</x:f>
      </x:c>
      <x:c r="J36" s="143" t="str">
        <x:f>IF('01_Rychla_kalkulace'!C50="","","AI_EXTRACTED_PANEL")</x:f>
      </x:c>
      <x:c r="K36" s="128" t="str">
        <x:f>IF('01_Rychla_kalkulace'!C50="","","Standardní odpočet otvorů "&amp;TEXT('01_Rychla_kalkulace'!J50,"0%"))</x:f>
      </x:c>
    </x:row>
    <x:row r="37">
      <x:c r="A37" s="143" t="str">
        <x:f>IF('01_Rychla_kalkulace'!C51="","",31)</x:f>
      </x:c>
      <x:c r="B37" s="143" t="str">
        <x:f>IF('01_Rychla_kalkulace'!C51="","","PANEL")</x:f>
      </x:c>
      <x:c r="C37" s="143" t="str">
        <x:f>IF('01_Rychla_kalkulace'!C51="","",'01_Rychla_kalkulace'!C51)</x:f>
      </x:c>
      <x:c r="D37" s="128" t="str">
        <x:f>IF('01_Rychla_kalkulace'!C51="","",'01_Rychla_kalkulace'!D51)</x:f>
      </x:c>
      <x:c r="E37" s="146" t="str">
        <x:f>IF('01_Rychla_kalkulace'!C51="","",'01_Rychla_kalkulace'!K51)</x:f>
      </x:c>
      <x:c r="F37" s="143" t="str">
        <x:f>IF('01_Rychla_kalkulace'!C51="","","m2")</x:f>
      </x:c>
      <x:c r="G37" s="145" t="str">
        <x:f>IF('01_Rychla_kalkulace'!C51="","",'01_Rychla_kalkulace'!L51)</x:f>
      </x:c>
      <x:c r="H37" s="145" t="str">
        <x:f>IF('01_Rychla_kalkulace'!C51="","",'01_Rychla_kalkulace'!M51)</x:f>
      </x:c>
      <x:c r="I37" s="143" t="str">
        <x:f>IF('01_Rychla_kalkulace'!C51="","",TRUE)</x:f>
      </x:c>
      <x:c r="J37" s="143" t="str">
        <x:f>IF('01_Rychla_kalkulace'!C51="","","AI_EXTRACTED_PANEL")</x:f>
      </x:c>
      <x:c r="K37" s="128" t="str">
        <x:f>IF('01_Rychla_kalkulace'!C51="","","Standardní odpočet otvorů "&amp;TEXT('01_Rychla_kalkulace'!J51,"0%"))</x:f>
      </x:c>
    </x:row>
    <x:row r="38">
      <x:c r="A38" s="143" t="str">
        <x:f>IF('01_Rychla_kalkulace'!C52="","",32)</x:f>
      </x:c>
      <x:c r="B38" s="143" t="str">
        <x:f>IF('01_Rychla_kalkulace'!C52="","","PANEL")</x:f>
      </x:c>
      <x:c r="C38" s="143" t="str">
        <x:f>IF('01_Rychla_kalkulace'!C52="","",'01_Rychla_kalkulace'!C52)</x:f>
      </x:c>
      <x:c r="D38" s="128" t="str">
        <x:f>IF('01_Rychla_kalkulace'!C52="","",'01_Rychla_kalkulace'!D52)</x:f>
      </x:c>
      <x:c r="E38" s="146" t="str">
        <x:f>IF('01_Rychla_kalkulace'!C52="","",'01_Rychla_kalkulace'!K52)</x:f>
      </x:c>
      <x:c r="F38" s="143" t="str">
        <x:f>IF('01_Rychla_kalkulace'!C52="","","m2")</x:f>
      </x:c>
      <x:c r="G38" s="145" t="str">
        <x:f>IF('01_Rychla_kalkulace'!C52="","",'01_Rychla_kalkulace'!L52)</x:f>
      </x:c>
      <x:c r="H38" s="145" t="str">
        <x:f>IF('01_Rychla_kalkulace'!C52="","",'01_Rychla_kalkulace'!M52)</x:f>
      </x:c>
      <x:c r="I38" s="143" t="str">
        <x:f>IF('01_Rychla_kalkulace'!C52="","",TRUE)</x:f>
      </x:c>
      <x:c r="J38" s="143" t="str">
        <x:f>IF('01_Rychla_kalkulace'!C52="","","AI_EXTRACTED_PANEL")</x:f>
      </x:c>
      <x:c r="K38" s="128" t="str">
        <x:f>IF('01_Rychla_kalkulace'!C52="","","Standardní odpočet otvorů "&amp;TEXT('01_Rychla_kalkulace'!J52,"0%"))</x:f>
      </x:c>
    </x:row>
    <x:row r="39">
      <x:c r="A39" s="143" t="str">
        <x:f>IF('01_Rychla_kalkulace'!C53="","",33)</x:f>
      </x:c>
      <x:c r="B39" s="143" t="str">
        <x:f>IF('01_Rychla_kalkulace'!C53="","","PANEL")</x:f>
      </x:c>
      <x:c r="C39" s="143" t="str">
        <x:f>IF('01_Rychla_kalkulace'!C53="","",'01_Rychla_kalkulace'!C53)</x:f>
      </x:c>
      <x:c r="D39" s="128" t="str">
        <x:f>IF('01_Rychla_kalkulace'!C53="","",'01_Rychla_kalkulace'!D53)</x:f>
      </x:c>
      <x:c r="E39" s="146" t="str">
        <x:f>IF('01_Rychla_kalkulace'!C53="","",'01_Rychla_kalkulace'!K53)</x:f>
      </x:c>
      <x:c r="F39" s="143" t="str">
        <x:f>IF('01_Rychla_kalkulace'!C53="","","m2")</x:f>
      </x:c>
      <x:c r="G39" s="145" t="str">
        <x:f>IF('01_Rychla_kalkulace'!C53="","",'01_Rychla_kalkulace'!L53)</x:f>
      </x:c>
      <x:c r="H39" s="145" t="str">
        <x:f>IF('01_Rychla_kalkulace'!C53="","",'01_Rychla_kalkulace'!M53)</x:f>
      </x:c>
      <x:c r="I39" s="143" t="str">
        <x:f>IF('01_Rychla_kalkulace'!C53="","",TRUE)</x:f>
      </x:c>
      <x:c r="J39" s="143" t="str">
        <x:f>IF('01_Rychla_kalkulace'!C53="","","AI_EXTRACTED_PANEL")</x:f>
      </x:c>
      <x:c r="K39" s="128" t="str">
        <x:f>IF('01_Rychla_kalkulace'!C53="","","Standardní odpočet otvorů "&amp;TEXT('01_Rychla_kalkulace'!J53,"0%"))</x:f>
      </x:c>
    </x:row>
    <x:row r="40">
      <x:c r="A40" s="143" t="str">
        <x:f>IF('01_Rychla_kalkulace'!C54="","",34)</x:f>
      </x:c>
      <x:c r="B40" s="143" t="str">
        <x:f>IF('01_Rychla_kalkulace'!C54="","","PANEL")</x:f>
      </x:c>
      <x:c r="C40" s="143" t="str">
        <x:f>IF('01_Rychla_kalkulace'!C54="","",'01_Rychla_kalkulace'!C54)</x:f>
      </x:c>
      <x:c r="D40" s="128" t="str">
        <x:f>IF('01_Rychla_kalkulace'!C54="","",'01_Rychla_kalkulace'!D54)</x:f>
      </x:c>
      <x:c r="E40" s="146" t="str">
        <x:f>IF('01_Rychla_kalkulace'!C54="","",'01_Rychla_kalkulace'!K54)</x:f>
      </x:c>
      <x:c r="F40" s="143" t="str">
        <x:f>IF('01_Rychla_kalkulace'!C54="","","m2")</x:f>
      </x:c>
      <x:c r="G40" s="145" t="str">
        <x:f>IF('01_Rychla_kalkulace'!C54="","",'01_Rychla_kalkulace'!L54)</x:f>
      </x:c>
      <x:c r="H40" s="145" t="str">
        <x:f>IF('01_Rychla_kalkulace'!C54="","",'01_Rychla_kalkulace'!M54)</x:f>
      </x:c>
      <x:c r="I40" s="143" t="str">
        <x:f>IF('01_Rychla_kalkulace'!C54="","",TRUE)</x:f>
      </x:c>
      <x:c r="J40" s="143" t="str">
        <x:f>IF('01_Rychla_kalkulace'!C54="","","AI_EXTRACTED_PANEL")</x:f>
      </x:c>
      <x:c r="K40" s="128" t="str">
        <x:f>IF('01_Rychla_kalkulace'!C54="","","Standardní odpočet otvorů "&amp;TEXT('01_Rychla_kalkulace'!J54,"0%"))</x:f>
      </x:c>
    </x:row>
    <x:row r="41">
      <x:c r="A41" s="143" t="str">
        <x:f>IF('01_Rychla_kalkulace'!C55="","",35)</x:f>
      </x:c>
      <x:c r="B41" s="143" t="str">
        <x:f>IF('01_Rychla_kalkulace'!C55="","","PANEL")</x:f>
      </x:c>
      <x:c r="C41" s="143" t="str">
        <x:f>IF('01_Rychla_kalkulace'!C55="","",'01_Rychla_kalkulace'!C55)</x:f>
      </x:c>
      <x:c r="D41" s="128" t="str">
        <x:f>IF('01_Rychla_kalkulace'!C55="","",'01_Rychla_kalkulace'!D55)</x:f>
      </x:c>
      <x:c r="E41" s="146" t="str">
        <x:f>IF('01_Rychla_kalkulace'!C55="","",'01_Rychla_kalkulace'!K55)</x:f>
      </x:c>
      <x:c r="F41" s="143" t="str">
        <x:f>IF('01_Rychla_kalkulace'!C55="","","m2")</x:f>
      </x:c>
      <x:c r="G41" s="145" t="str">
        <x:f>IF('01_Rychla_kalkulace'!C55="","",'01_Rychla_kalkulace'!L55)</x:f>
      </x:c>
      <x:c r="H41" s="145" t="str">
        <x:f>IF('01_Rychla_kalkulace'!C55="","",'01_Rychla_kalkulace'!M55)</x:f>
      </x:c>
      <x:c r="I41" s="143" t="str">
        <x:f>IF('01_Rychla_kalkulace'!C55="","",TRUE)</x:f>
      </x:c>
      <x:c r="J41" s="143" t="str">
        <x:f>IF('01_Rychla_kalkulace'!C55="","","AI_EXTRACTED_PANEL")</x:f>
      </x:c>
      <x:c r="K41" s="128" t="str">
        <x:f>IF('01_Rychla_kalkulace'!C55="","","Standardní odpočet otvorů "&amp;TEXT('01_Rychla_kalkulace'!J55,"0%"))</x:f>
      </x:c>
    </x:row>
    <x:row r="42">
      <x:c r="A42" s="143" t="str">
        <x:f>IF('01_Rychla_kalkulace'!C56="","",36)</x:f>
      </x:c>
      <x:c r="B42" s="143" t="str">
        <x:f>IF('01_Rychla_kalkulace'!C56="","","PANEL")</x:f>
      </x:c>
      <x:c r="C42" s="143" t="str">
        <x:f>IF('01_Rychla_kalkulace'!C56="","",'01_Rychla_kalkulace'!C56)</x:f>
      </x:c>
      <x:c r="D42" s="128" t="str">
        <x:f>IF('01_Rychla_kalkulace'!C56="","",'01_Rychla_kalkulace'!D56)</x:f>
      </x:c>
      <x:c r="E42" s="146" t="str">
        <x:f>IF('01_Rychla_kalkulace'!C56="","",'01_Rychla_kalkulace'!K56)</x:f>
      </x:c>
      <x:c r="F42" s="143" t="str">
        <x:f>IF('01_Rychla_kalkulace'!C56="","","m2")</x:f>
      </x:c>
      <x:c r="G42" s="145" t="str">
        <x:f>IF('01_Rychla_kalkulace'!C56="","",'01_Rychla_kalkulace'!L56)</x:f>
      </x:c>
      <x:c r="H42" s="145" t="str">
        <x:f>IF('01_Rychla_kalkulace'!C56="","",'01_Rychla_kalkulace'!M56)</x:f>
      </x:c>
      <x:c r="I42" s="143" t="str">
        <x:f>IF('01_Rychla_kalkulace'!C56="","",TRUE)</x:f>
      </x:c>
      <x:c r="J42" s="143" t="str">
        <x:f>IF('01_Rychla_kalkulace'!C56="","","AI_EXTRACTED_PANEL")</x:f>
      </x:c>
      <x:c r="K42" s="128" t="str">
        <x:f>IF('01_Rychla_kalkulace'!C56="","","Standardní odpočet otvorů "&amp;TEXT('01_Rychla_kalkulace'!J56,"0%"))</x:f>
      </x:c>
    </x:row>
    <x:row r="43">
      <x:c r="A43" s="143" t="str">
        <x:f>IF('01_Rychla_kalkulace'!C57="","",37)</x:f>
      </x:c>
      <x:c r="B43" s="143" t="str">
        <x:f>IF('01_Rychla_kalkulace'!C57="","","PANEL")</x:f>
      </x:c>
      <x:c r="C43" s="143" t="str">
        <x:f>IF('01_Rychla_kalkulace'!C57="","",'01_Rychla_kalkulace'!C57)</x:f>
      </x:c>
      <x:c r="D43" s="128" t="str">
        <x:f>IF('01_Rychla_kalkulace'!C57="","",'01_Rychla_kalkulace'!D57)</x:f>
      </x:c>
      <x:c r="E43" s="146" t="str">
        <x:f>IF('01_Rychla_kalkulace'!C57="","",'01_Rychla_kalkulace'!K57)</x:f>
      </x:c>
      <x:c r="F43" s="143" t="str">
        <x:f>IF('01_Rychla_kalkulace'!C57="","","m2")</x:f>
      </x:c>
      <x:c r="G43" s="145" t="str">
        <x:f>IF('01_Rychla_kalkulace'!C57="","",'01_Rychla_kalkulace'!L57)</x:f>
      </x:c>
      <x:c r="H43" s="145" t="str">
        <x:f>IF('01_Rychla_kalkulace'!C57="","",'01_Rychla_kalkulace'!M57)</x:f>
      </x:c>
      <x:c r="I43" s="143" t="str">
        <x:f>IF('01_Rychla_kalkulace'!C57="","",TRUE)</x:f>
      </x:c>
      <x:c r="J43" s="143" t="str">
        <x:f>IF('01_Rychla_kalkulace'!C57="","","AI_EXTRACTED_PANEL")</x:f>
      </x:c>
      <x:c r="K43" s="128" t="str">
        <x:f>IF('01_Rychla_kalkulace'!C57="","","Standardní odpočet otvorů "&amp;TEXT('01_Rychla_kalkulace'!J57,"0%"))</x:f>
      </x:c>
    </x:row>
    <x:row r="44">
      <x:c r="A44" s="143" t="str">
        <x:f>IF('01_Rychla_kalkulace'!C58="","",38)</x:f>
      </x:c>
      <x:c r="B44" s="143" t="str">
        <x:f>IF('01_Rychla_kalkulace'!C58="","","PANEL")</x:f>
      </x:c>
      <x:c r="C44" s="143" t="str">
        <x:f>IF('01_Rychla_kalkulace'!C58="","",'01_Rychla_kalkulace'!C58)</x:f>
      </x:c>
      <x:c r="D44" s="128" t="str">
        <x:f>IF('01_Rychla_kalkulace'!C58="","",'01_Rychla_kalkulace'!D58)</x:f>
      </x:c>
      <x:c r="E44" s="146" t="str">
        <x:f>IF('01_Rychla_kalkulace'!C58="","",'01_Rychla_kalkulace'!K58)</x:f>
      </x:c>
      <x:c r="F44" s="143" t="str">
        <x:f>IF('01_Rychla_kalkulace'!C58="","","m2")</x:f>
      </x:c>
      <x:c r="G44" s="145" t="str">
        <x:f>IF('01_Rychla_kalkulace'!C58="","",'01_Rychla_kalkulace'!L58)</x:f>
      </x:c>
      <x:c r="H44" s="145" t="str">
        <x:f>IF('01_Rychla_kalkulace'!C58="","",'01_Rychla_kalkulace'!M58)</x:f>
      </x:c>
      <x:c r="I44" s="143" t="str">
        <x:f>IF('01_Rychla_kalkulace'!C58="","",TRUE)</x:f>
      </x:c>
      <x:c r="J44" s="143" t="str">
        <x:f>IF('01_Rychla_kalkulace'!C58="","","AI_EXTRACTED_PANEL")</x:f>
      </x:c>
      <x:c r="K44" s="128" t="str">
        <x:f>IF('01_Rychla_kalkulace'!C58="","","Standardní odpočet otvorů "&amp;TEXT('01_Rychla_kalkulace'!J58,"0%"))</x:f>
      </x:c>
    </x:row>
    <x:row r="45">
      <x:c r="A45" s="143" t="str">
        <x:f>IF('01_Rychla_kalkulace'!C59="","",39)</x:f>
      </x:c>
      <x:c r="B45" s="143" t="str">
        <x:f>IF('01_Rychla_kalkulace'!C59="","","PANEL")</x:f>
      </x:c>
      <x:c r="C45" s="143" t="str">
        <x:f>IF('01_Rychla_kalkulace'!C59="","",'01_Rychla_kalkulace'!C59)</x:f>
      </x:c>
      <x:c r="D45" s="128" t="str">
        <x:f>IF('01_Rychla_kalkulace'!C59="","",'01_Rychla_kalkulace'!D59)</x:f>
      </x:c>
      <x:c r="E45" s="146" t="str">
        <x:f>IF('01_Rychla_kalkulace'!C59="","",'01_Rychla_kalkulace'!K59)</x:f>
      </x:c>
      <x:c r="F45" s="143" t="str">
        <x:f>IF('01_Rychla_kalkulace'!C59="","","m2")</x:f>
      </x:c>
      <x:c r="G45" s="145" t="str">
        <x:f>IF('01_Rychla_kalkulace'!C59="","",'01_Rychla_kalkulace'!L59)</x:f>
      </x:c>
      <x:c r="H45" s="145" t="str">
        <x:f>IF('01_Rychla_kalkulace'!C59="","",'01_Rychla_kalkulace'!M59)</x:f>
      </x:c>
      <x:c r="I45" s="143" t="str">
        <x:f>IF('01_Rychla_kalkulace'!C59="","",TRUE)</x:f>
      </x:c>
      <x:c r="J45" s="143" t="str">
        <x:f>IF('01_Rychla_kalkulace'!C59="","","AI_EXTRACTED_PANEL")</x:f>
      </x:c>
      <x:c r="K45" s="128" t="str">
        <x:f>IF('01_Rychla_kalkulace'!C59="","","Standardní odpočet otvorů "&amp;TEXT('01_Rychla_kalkulace'!J59,"0%"))</x:f>
      </x:c>
    </x:row>
    <x:row r="46">
      <x:c r="A46" s="143" t="str">
        <x:f>IF('01_Rychla_kalkulace'!C60="","",40)</x:f>
      </x:c>
      <x:c r="B46" s="143" t="str">
        <x:f>IF('01_Rychla_kalkulace'!C60="","","PANEL")</x:f>
      </x:c>
      <x:c r="C46" s="143" t="str">
        <x:f>IF('01_Rychla_kalkulace'!C60="","",'01_Rychla_kalkulace'!C60)</x:f>
      </x:c>
      <x:c r="D46" s="128" t="str">
        <x:f>IF('01_Rychla_kalkulace'!C60="","",'01_Rychla_kalkulace'!D60)</x:f>
      </x:c>
      <x:c r="E46" s="146" t="str">
        <x:f>IF('01_Rychla_kalkulace'!C60="","",'01_Rychla_kalkulace'!K60)</x:f>
      </x:c>
      <x:c r="F46" s="143" t="str">
        <x:f>IF('01_Rychla_kalkulace'!C60="","","m2")</x:f>
      </x:c>
      <x:c r="G46" s="145" t="str">
        <x:f>IF('01_Rychla_kalkulace'!C60="","",'01_Rychla_kalkulace'!L60)</x:f>
      </x:c>
      <x:c r="H46" s="145" t="str">
        <x:f>IF('01_Rychla_kalkulace'!C60="","",'01_Rychla_kalkulace'!M60)</x:f>
      </x:c>
      <x:c r="I46" s="143" t="str">
        <x:f>IF('01_Rychla_kalkulace'!C60="","",TRUE)</x:f>
      </x:c>
      <x:c r="J46" s="143" t="str">
        <x:f>IF('01_Rychla_kalkulace'!C60="","","AI_EXTRACTED_PANEL")</x:f>
      </x:c>
      <x:c r="K46" s="128" t="str">
        <x:f>IF('01_Rychla_kalkulace'!C60="","","Standardní odpočet otvorů "&amp;TEXT('01_Rychla_kalkulace'!J60,"0%"))</x:f>
      </x:c>
    </x:row>
    <x:row r="47">
      <x:c r="A47" s="143" t="str">
        <x:f>IF('01_Rychla_kalkulace'!C61="","",41)</x:f>
      </x:c>
      <x:c r="B47" s="143" t="str">
        <x:f>IF('01_Rychla_kalkulace'!C61="","","PANEL")</x:f>
      </x:c>
      <x:c r="C47" s="143" t="str">
        <x:f>IF('01_Rychla_kalkulace'!C61="","",'01_Rychla_kalkulace'!C61)</x:f>
      </x:c>
      <x:c r="D47" s="128" t="str">
        <x:f>IF('01_Rychla_kalkulace'!C61="","",'01_Rychla_kalkulace'!D61)</x:f>
      </x:c>
      <x:c r="E47" s="146" t="str">
        <x:f>IF('01_Rychla_kalkulace'!C61="","",'01_Rychla_kalkulace'!K61)</x:f>
      </x:c>
      <x:c r="F47" s="143" t="str">
        <x:f>IF('01_Rychla_kalkulace'!C61="","","m2")</x:f>
      </x:c>
      <x:c r="G47" s="145" t="str">
        <x:f>IF('01_Rychla_kalkulace'!C61="","",'01_Rychla_kalkulace'!L61)</x:f>
      </x:c>
      <x:c r="H47" s="145" t="str">
        <x:f>IF('01_Rychla_kalkulace'!C61="","",'01_Rychla_kalkulace'!M61)</x:f>
      </x:c>
      <x:c r="I47" s="143" t="str">
        <x:f>IF('01_Rychla_kalkulace'!C61="","",TRUE)</x:f>
      </x:c>
      <x:c r="J47" s="143" t="str">
        <x:f>IF('01_Rychla_kalkulace'!C61="","","AI_EXTRACTED_PANEL")</x:f>
      </x:c>
      <x:c r="K47" s="128" t="str">
        <x:f>IF('01_Rychla_kalkulace'!C61="","","Standardní odpočet otvorů "&amp;TEXT('01_Rychla_kalkulace'!J61,"0%"))</x:f>
      </x:c>
    </x:row>
    <x:row r="48">
      <x:c r="A48" s="143" t="str">
        <x:f>IF('01_Rychla_kalkulace'!C62="","",42)</x:f>
      </x:c>
      <x:c r="B48" s="143" t="str">
        <x:f>IF('01_Rychla_kalkulace'!C62="","","PANEL")</x:f>
      </x:c>
      <x:c r="C48" s="143" t="str">
        <x:f>IF('01_Rychla_kalkulace'!C62="","",'01_Rychla_kalkulace'!C62)</x:f>
      </x:c>
      <x:c r="D48" s="128" t="str">
        <x:f>IF('01_Rychla_kalkulace'!C62="","",'01_Rychla_kalkulace'!D62)</x:f>
      </x:c>
      <x:c r="E48" s="146" t="str">
        <x:f>IF('01_Rychla_kalkulace'!C62="","",'01_Rychla_kalkulace'!K62)</x:f>
      </x:c>
      <x:c r="F48" s="143" t="str">
        <x:f>IF('01_Rychla_kalkulace'!C62="","","m2")</x:f>
      </x:c>
      <x:c r="G48" s="145" t="str">
        <x:f>IF('01_Rychla_kalkulace'!C62="","",'01_Rychla_kalkulace'!L62)</x:f>
      </x:c>
      <x:c r="H48" s="145" t="str">
        <x:f>IF('01_Rychla_kalkulace'!C62="","",'01_Rychla_kalkulace'!M62)</x:f>
      </x:c>
      <x:c r="I48" s="143" t="str">
        <x:f>IF('01_Rychla_kalkulace'!C62="","",TRUE)</x:f>
      </x:c>
      <x:c r="J48" s="143" t="str">
        <x:f>IF('01_Rychla_kalkulace'!C62="","","AI_EXTRACTED_PANEL")</x:f>
      </x:c>
      <x:c r="K48" s="128" t="str">
        <x:f>IF('01_Rychla_kalkulace'!C62="","","Standardní odpočet otvorů "&amp;TEXT('01_Rychla_kalkulace'!J62,"0%"))</x:f>
      </x:c>
    </x:row>
    <x:row r="49">
      <x:c r="A49" s="143" t="str">
        <x:f>IF('01_Rychla_kalkulace'!C63="","",43)</x:f>
      </x:c>
      <x:c r="B49" s="143" t="str">
        <x:f>IF('01_Rychla_kalkulace'!C63="","","PANEL")</x:f>
      </x:c>
      <x:c r="C49" s="143" t="str">
        <x:f>IF('01_Rychla_kalkulace'!C63="","",'01_Rychla_kalkulace'!C63)</x:f>
      </x:c>
      <x:c r="D49" s="128" t="str">
        <x:f>IF('01_Rychla_kalkulace'!C63="","",'01_Rychla_kalkulace'!D63)</x:f>
      </x:c>
      <x:c r="E49" s="146" t="str">
        <x:f>IF('01_Rychla_kalkulace'!C63="","",'01_Rychla_kalkulace'!K63)</x:f>
      </x:c>
      <x:c r="F49" s="143" t="str">
        <x:f>IF('01_Rychla_kalkulace'!C63="","","m2")</x:f>
      </x:c>
      <x:c r="G49" s="145" t="str">
        <x:f>IF('01_Rychla_kalkulace'!C63="","",'01_Rychla_kalkulace'!L63)</x:f>
      </x:c>
      <x:c r="H49" s="145" t="str">
        <x:f>IF('01_Rychla_kalkulace'!C63="","",'01_Rychla_kalkulace'!M63)</x:f>
      </x:c>
      <x:c r="I49" s="143" t="str">
        <x:f>IF('01_Rychla_kalkulace'!C63="","",TRUE)</x:f>
      </x:c>
      <x:c r="J49" s="143" t="str">
        <x:f>IF('01_Rychla_kalkulace'!C63="","","AI_EXTRACTED_PANEL")</x:f>
      </x:c>
      <x:c r="K49" s="128" t="str">
        <x:f>IF('01_Rychla_kalkulace'!C63="","","Standardní odpočet otvorů "&amp;TEXT('01_Rychla_kalkulace'!J63,"0%"))</x:f>
      </x:c>
    </x:row>
    <x:row r="50">
      <x:c r="A50" s="143" t="str">
        <x:f>IF('01_Rychla_kalkulace'!C64="","",44)</x:f>
      </x:c>
      <x:c r="B50" s="143" t="str">
        <x:f>IF('01_Rychla_kalkulace'!C64="","","PANEL")</x:f>
      </x:c>
      <x:c r="C50" s="143" t="str">
        <x:f>IF('01_Rychla_kalkulace'!C64="","",'01_Rychla_kalkulace'!C64)</x:f>
      </x:c>
      <x:c r="D50" s="128" t="str">
        <x:f>IF('01_Rychla_kalkulace'!C64="","",'01_Rychla_kalkulace'!D64)</x:f>
      </x:c>
      <x:c r="E50" s="146" t="str">
        <x:f>IF('01_Rychla_kalkulace'!C64="","",'01_Rychla_kalkulace'!K64)</x:f>
      </x:c>
      <x:c r="F50" s="143" t="str">
        <x:f>IF('01_Rychla_kalkulace'!C64="","","m2")</x:f>
      </x:c>
      <x:c r="G50" s="145" t="str">
        <x:f>IF('01_Rychla_kalkulace'!C64="","",'01_Rychla_kalkulace'!L64)</x:f>
      </x:c>
      <x:c r="H50" s="145" t="str">
        <x:f>IF('01_Rychla_kalkulace'!C64="","",'01_Rychla_kalkulace'!M64)</x:f>
      </x:c>
      <x:c r="I50" s="143" t="str">
        <x:f>IF('01_Rychla_kalkulace'!C64="","",TRUE)</x:f>
      </x:c>
      <x:c r="J50" s="143" t="str">
        <x:f>IF('01_Rychla_kalkulace'!C64="","","AI_EXTRACTED_PANEL")</x:f>
      </x:c>
      <x:c r="K50" s="128" t="str">
        <x:f>IF('01_Rychla_kalkulace'!C64="","","Standardní odpočet otvorů "&amp;TEXT('01_Rychla_kalkulace'!J64,"0%"))</x:f>
      </x:c>
    </x:row>
    <x:row r="51">
      <x:c r="A51" s="143" t="str">
        <x:f>IF('01_Rychla_kalkulace'!C65="","",45)</x:f>
      </x:c>
      <x:c r="B51" s="143" t="str">
        <x:f>IF('01_Rychla_kalkulace'!C65="","","PANEL")</x:f>
      </x:c>
      <x:c r="C51" s="143" t="str">
        <x:f>IF('01_Rychla_kalkulace'!C65="","",'01_Rychla_kalkulace'!C65)</x:f>
      </x:c>
      <x:c r="D51" s="128" t="str">
        <x:f>IF('01_Rychla_kalkulace'!C65="","",'01_Rychla_kalkulace'!D65)</x:f>
      </x:c>
      <x:c r="E51" s="146" t="str">
        <x:f>IF('01_Rychla_kalkulace'!C65="","",'01_Rychla_kalkulace'!K65)</x:f>
      </x:c>
      <x:c r="F51" s="143" t="str">
        <x:f>IF('01_Rychla_kalkulace'!C65="","","m2")</x:f>
      </x:c>
      <x:c r="G51" s="145" t="str">
        <x:f>IF('01_Rychla_kalkulace'!C65="","",'01_Rychla_kalkulace'!L65)</x:f>
      </x:c>
      <x:c r="H51" s="145" t="str">
        <x:f>IF('01_Rychla_kalkulace'!C65="","",'01_Rychla_kalkulace'!M65)</x:f>
      </x:c>
      <x:c r="I51" s="143" t="str">
        <x:f>IF('01_Rychla_kalkulace'!C65="","",TRUE)</x:f>
      </x:c>
      <x:c r="J51" s="143" t="str">
        <x:f>IF('01_Rychla_kalkulace'!C65="","","AI_EXTRACTED_PANEL")</x:f>
      </x:c>
      <x:c r="K51" s="128" t="str">
        <x:f>IF('01_Rychla_kalkulace'!C65="","","Standardní odpočet otvorů "&amp;TEXT('01_Rychla_kalkulace'!J65,"0%"))</x:f>
      </x:c>
    </x:row>
    <x:row r="52">
      <x:c r="A52" s="143" t="str">
        <x:f>IF('01_Rychla_kalkulace'!C66="","",46)</x:f>
      </x:c>
      <x:c r="B52" s="143" t="str">
        <x:f>IF('01_Rychla_kalkulace'!C66="","","PANEL")</x:f>
      </x:c>
      <x:c r="C52" s="143" t="str">
        <x:f>IF('01_Rychla_kalkulace'!C66="","",'01_Rychla_kalkulace'!C66)</x:f>
      </x:c>
      <x:c r="D52" s="128" t="str">
        <x:f>IF('01_Rychla_kalkulace'!C66="","",'01_Rychla_kalkulace'!D66)</x:f>
      </x:c>
      <x:c r="E52" s="146" t="str">
        <x:f>IF('01_Rychla_kalkulace'!C66="","",'01_Rychla_kalkulace'!K66)</x:f>
      </x:c>
      <x:c r="F52" s="143" t="str">
        <x:f>IF('01_Rychla_kalkulace'!C66="","","m2")</x:f>
      </x:c>
      <x:c r="G52" s="145" t="str">
        <x:f>IF('01_Rychla_kalkulace'!C66="","",'01_Rychla_kalkulace'!L66)</x:f>
      </x:c>
      <x:c r="H52" s="145" t="str">
        <x:f>IF('01_Rychla_kalkulace'!C66="","",'01_Rychla_kalkulace'!M66)</x:f>
      </x:c>
      <x:c r="I52" s="143" t="str">
        <x:f>IF('01_Rychla_kalkulace'!C66="","",TRUE)</x:f>
      </x:c>
      <x:c r="J52" s="143" t="str">
        <x:f>IF('01_Rychla_kalkulace'!C66="","","AI_EXTRACTED_PANEL")</x:f>
      </x:c>
      <x:c r="K52" s="128" t="str">
        <x:f>IF('01_Rychla_kalkulace'!C66="","","Standardní odpočet otvorů "&amp;TEXT('01_Rychla_kalkulace'!J66,"0%"))</x:f>
      </x:c>
    </x:row>
    <x:row r="53">
      <x:c r="A53" s="143" t="str">
        <x:f>IF('01_Rychla_kalkulace'!C67="","",47)</x:f>
      </x:c>
      <x:c r="B53" s="143" t="str">
        <x:f>IF('01_Rychla_kalkulace'!C67="","","PANEL")</x:f>
      </x:c>
      <x:c r="C53" s="143" t="str">
        <x:f>IF('01_Rychla_kalkulace'!C67="","",'01_Rychla_kalkulace'!C67)</x:f>
      </x:c>
      <x:c r="D53" s="128" t="str">
        <x:f>IF('01_Rychla_kalkulace'!C67="","",'01_Rychla_kalkulace'!D67)</x:f>
      </x:c>
      <x:c r="E53" s="146" t="str">
        <x:f>IF('01_Rychla_kalkulace'!C67="","",'01_Rychla_kalkulace'!K67)</x:f>
      </x:c>
      <x:c r="F53" s="143" t="str">
        <x:f>IF('01_Rychla_kalkulace'!C67="","","m2")</x:f>
      </x:c>
      <x:c r="G53" s="145" t="str">
        <x:f>IF('01_Rychla_kalkulace'!C67="","",'01_Rychla_kalkulace'!L67)</x:f>
      </x:c>
      <x:c r="H53" s="145" t="str">
        <x:f>IF('01_Rychla_kalkulace'!C67="","",'01_Rychla_kalkulace'!M67)</x:f>
      </x:c>
      <x:c r="I53" s="143" t="str">
        <x:f>IF('01_Rychla_kalkulace'!C67="","",TRUE)</x:f>
      </x:c>
      <x:c r="J53" s="143" t="str">
        <x:f>IF('01_Rychla_kalkulace'!C67="","","AI_EXTRACTED_PANEL")</x:f>
      </x:c>
      <x:c r="K53" s="128" t="str">
        <x:f>IF('01_Rychla_kalkulace'!C67="","","Standardní odpočet otvorů "&amp;TEXT('01_Rychla_kalkulace'!J67,"0%"))</x:f>
      </x:c>
    </x:row>
    <x:row r="54">
      <x:c r="A54" s="143" t="str">
        <x:f>IF('01_Rychla_kalkulace'!C68="","",48)</x:f>
      </x:c>
      <x:c r="B54" s="143" t="str">
        <x:f>IF('01_Rychla_kalkulace'!C68="","","PANEL")</x:f>
      </x:c>
      <x:c r="C54" s="143" t="str">
        <x:f>IF('01_Rychla_kalkulace'!C68="","",'01_Rychla_kalkulace'!C68)</x:f>
      </x:c>
      <x:c r="D54" s="128" t="str">
        <x:f>IF('01_Rychla_kalkulace'!C68="","",'01_Rychla_kalkulace'!D68)</x:f>
      </x:c>
      <x:c r="E54" s="146" t="str">
        <x:f>IF('01_Rychla_kalkulace'!C68="","",'01_Rychla_kalkulace'!K68)</x:f>
      </x:c>
      <x:c r="F54" s="143" t="str">
        <x:f>IF('01_Rychla_kalkulace'!C68="","","m2")</x:f>
      </x:c>
      <x:c r="G54" s="145" t="str">
        <x:f>IF('01_Rychla_kalkulace'!C68="","",'01_Rychla_kalkulace'!L68)</x:f>
      </x:c>
      <x:c r="H54" s="145" t="str">
        <x:f>IF('01_Rychla_kalkulace'!C68="","",'01_Rychla_kalkulace'!M68)</x:f>
      </x:c>
      <x:c r="I54" s="143" t="str">
        <x:f>IF('01_Rychla_kalkulace'!C68="","",TRUE)</x:f>
      </x:c>
      <x:c r="J54" s="143" t="str">
        <x:f>IF('01_Rychla_kalkulace'!C68="","","AI_EXTRACTED_PANEL")</x:f>
      </x:c>
      <x:c r="K54" s="128" t="str">
        <x:f>IF('01_Rychla_kalkulace'!C68="","","Standardní odpočet otvorů "&amp;TEXT('01_Rychla_kalkulace'!J68,"0%"))</x:f>
      </x:c>
    </x:row>
    <x:row r="55">
      <x:c r="A55" s="143" t="str">
        <x:f>IF('01_Rychla_kalkulace'!C69="","",49)</x:f>
      </x:c>
      <x:c r="B55" s="143" t="str">
        <x:f>IF('01_Rychla_kalkulace'!C69="","","PANEL")</x:f>
      </x:c>
      <x:c r="C55" s="143" t="str">
        <x:f>IF('01_Rychla_kalkulace'!C69="","",'01_Rychla_kalkulace'!C69)</x:f>
      </x:c>
      <x:c r="D55" s="128" t="str">
        <x:f>IF('01_Rychla_kalkulace'!C69="","",'01_Rychla_kalkulace'!D69)</x:f>
      </x:c>
      <x:c r="E55" s="146" t="str">
        <x:f>IF('01_Rychla_kalkulace'!C69="","",'01_Rychla_kalkulace'!K69)</x:f>
      </x:c>
      <x:c r="F55" s="143" t="str">
        <x:f>IF('01_Rychla_kalkulace'!C69="","","m2")</x:f>
      </x:c>
      <x:c r="G55" s="145" t="str">
        <x:f>IF('01_Rychla_kalkulace'!C69="","",'01_Rychla_kalkulace'!L69)</x:f>
      </x:c>
      <x:c r="H55" s="145" t="str">
        <x:f>IF('01_Rychla_kalkulace'!C69="","",'01_Rychla_kalkulace'!M69)</x:f>
      </x:c>
      <x:c r="I55" s="143" t="str">
        <x:f>IF('01_Rychla_kalkulace'!C69="","",TRUE)</x:f>
      </x:c>
      <x:c r="J55" s="143" t="str">
        <x:f>IF('01_Rychla_kalkulace'!C69="","","AI_EXTRACTED_PANEL")</x:f>
      </x:c>
      <x:c r="K55" s="128" t="str">
        <x:f>IF('01_Rychla_kalkulace'!C69="","","Standardní odpočet otvorů "&amp;TEXT('01_Rychla_kalkulace'!J69,"0%"))</x:f>
      </x:c>
    </x:row>
    <x:row r="56">
      <x:c r="A56" s="143" t="str">
        <x:f>IF('01_Rychla_kalkulace'!C70="","",50)</x:f>
      </x:c>
      <x:c r="B56" s="143" t="str">
        <x:f>IF('01_Rychla_kalkulace'!C70="","","PANEL")</x:f>
      </x:c>
      <x:c r="C56" s="143" t="str">
        <x:f>IF('01_Rychla_kalkulace'!C70="","",'01_Rychla_kalkulace'!C70)</x:f>
      </x:c>
      <x:c r="D56" s="128" t="str">
        <x:f>IF('01_Rychla_kalkulace'!C70="","",'01_Rychla_kalkulace'!D70)</x:f>
      </x:c>
      <x:c r="E56" s="146" t="str">
        <x:f>IF('01_Rychla_kalkulace'!C70="","",'01_Rychla_kalkulace'!K70)</x:f>
      </x:c>
      <x:c r="F56" s="143" t="str">
        <x:f>IF('01_Rychla_kalkulace'!C70="","","m2")</x:f>
      </x:c>
      <x:c r="G56" s="145" t="str">
        <x:f>IF('01_Rychla_kalkulace'!C70="","",'01_Rychla_kalkulace'!L70)</x:f>
      </x:c>
      <x:c r="H56" s="145" t="str">
        <x:f>IF('01_Rychla_kalkulace'!C70="","",'01_Rychla_kalkulace'!M70)</x:f>
      </x:c>
      <x:c r="I56" s="143" t="str">
        <x:f>IF('01_Rychla_kalkulace'!C70="","",TRUE)</x:f>
      </x:c>
      <x:c r="J56" s="143" t="str">
        <x:f>IF('01_Rychla_kalkulace'!C70="","","AI_EXTRACTED_PANEL")</x:f>
      </x:c>
      <x:c r="K56" s="128" t="str">
        <x:f>IF('01_Rychla_kalkulace'!C70="","","Standardní odpočet otvorů "&amp;TEXT('01_Rychla_kalkulace'!J70,"0%"))</x:f>
      </x:c>
    </x:row>
    <x:row r="57">
      <x:c r="A57" s="143" t="n">
        <x:v>57</x:v>
      </x:c>
      <x:c r="B57" s="143" t="str">
        <x:v>ADJUSTMENT</x:v>
      </x:c>
      <x:c r="C57" s="143" t="str">
        <x:v>VOLUME_ADJUSTMENT</x:v>
      </x:c>
      <x:c r="D57" s="128" t="str">
        <x:v>Objemová obchodní úprava</x:v>
      </x:c>
      <x:c r="E57" s="143" t="n">
        <x:v>1</x:v>
      </x:c>
      <x:c r="F57" s="143" t="str">
        <x:v>set</x:v>
      </x:c>
      <x:c r="G57" s="145" t="n">
        <x:f>'01_Rychla_kalkulace'!B8</x:f>
        <x:v>0</x:v>
      </x:c>
      <x:c r="H57" s="145" t="n">
        <x:f>'01_Rychla_kalkulace'!B8</x:f>
        <x:v>0</x:v>
      </x:c>
      <x:c r="I57" s="147" t="b">
        <x:v>1</x:v>
      </x:c>
      <x:c r="J57" s="143" t="str">
        <x:v>PILOT_RATE</x:v>
      </x:c>
      <x:c r="K57" s="128" t="str">
        <x:v>Úprava podle užitné plochy</x:v>
      </x:c>
    </x:row>
    <x:row r="58">
      <x:c r="A58" s="143" t="n">
        <x:v>58</x:v>
      </x:c>
      <x:c r="B58" s="143" t="str">
        <x:v>SERVICE</x:v>
      </x:c>
      <x:c r="C58" s="143" t="str">
        <x:v>ASSEMBLY</x:v>
      </x:c>
      <x:c r="D58" s="128" t="str">
        <x:v>Montáž hrubé stavby</x:v>
      </x:c>
      <x:c r="E58" s="143" t="n">
        <x:v>1</x:v>
      </x:c>
      <x:c r="F58" s="143" t="str">
        <x:v>set</x:v>
      </x:c>
      <x:c r="G58" s="145" t="n">
        <x:f>'01_Rychla_kalkulace'!B9</x:f>
        <x:v>430950.3786</x:v>
      </x:c>
      <x:c r="H58" s="145" t="n">
        <x:f>'01_Rychla_kalkulace'!B9</x:f>
        <x:v>430950.3786</x:v>
      </x:c>
      <x:c r="I58" s="147" t="b">
        <x:v>1</x:v>
      </x:c>
      <x:c r="J58" s="143" t="str">
        <x:v>PILOT_RATE</x:v>
      </x:c>
      <x:c r="K58" s="128" t="str">
        <x:v>Pilotní procentní sazba</x:v>
      </x:c>
    </x:row>
    <x:row r="59">
      <x:c r="A59" s="143" t="n">
        <x:v>59</x:v>
      </x:c>
      <x:c r="B59" s="143" t="str">
        <x:v>SERVICE</x:v>
      </x:c>
      <x:c r="C59" s="143" t="str">
        <x:v>HANDLING</x:v>
      </x:c>
      <x:c r="D59" s="128" t="str">
        <x:v>Manipulace a zdvihací technika</x:v>
      </x:c>
      <x:c r="E59" s="143" t="n">
        <x:v>1</x:v>
      </x:c>
      <x:c r="F59" s="143" t="str">
        <x:v>set</x:v>
      </x:c>
      <x:c r="G59" s="145" t="n">
        <x:f>'01_Rychla_kalkulace'!B10</x:f>
        <x:v>95766.75080000001</x:v>
      </x:c>
      <x:c r="H59" s="145" t="n">
        <x:f>'01_Rychla_kalkulace'!B10</x:f>
        <x:v>95766.75080000001</x:v>
      </x:c>
      <x:c r="I59" s="147" t="b">
        <x:v>1</x:v>
      </x:c>
      <x:c r="J59" s="143" t="str">
        <x:v>PILOT_RATE</x:v>
      </x:c>
      <x:c r="K59" s="128" t="str">
        <x:v>Pilotní procentní sazba</x:v>
      </x:c>
    </x:row>
    <x:row r="60">
      <x:c r="A60" s="143" t="n">
        <x:v>60</x:v>
      </x:c>
      <x:c r="B60" s="143" t="str">
        <x:v>SERVICE</x:v>
      </x:c>
      <x:c r="C60" s="143" t="str">
        <x:v>SITE_SETUP</x:v>
      </x:c>
      <x:c r="D60" s="128" t="str">
        <x:v>Zařízení staveniště</x:v>
      </x:c>
      <x:c r="E60" s="143" t="n">
        <x:v>1</x:v>
      </x:c>
      <x:c r="F60" s="143" t="str">
        <x:v>set</x:v>
      </x:c>
      <x:c r="G60" s="145" t="n">
        <x:f>'01_Rychla_kalkulace'!B11</x:f>
        <x:v>35000</x:v>
      </x:c>
      <x:c r="H60" s="145" t="n">
        <x:f>'01_Rychla_kalkulace'!B11</x:f>
        <x:v>35000</x:v>
      </x:c>
      <x:c r="I60" s="147" t="b">
        <x:v>1</x:v>
      </x:c>
      <x:c r="J60" s="143" t="str">
        <x:v>PILOT_RATE</x:v>
      </x:c>
      <x:c r="K60" s="128" t="str">
        <x:v>Pilotní projektová sazba</x:v>
      </x:c>
    </x:row>
    <x:row r="61">
      <x:c r="A61" s="143" t="n">
        <x:v>61</x:v>
      </x:c>
      <x:c r="B61" s="143" t="str">
        <x:v>SERVICE</x:v>
      </x:c>
      <x:c r="C61" s="143" t="str">
        <x:v>TRANSPORT</x:v>
      </x:c>
      <x:c r="D61" s="128" t="str">
        <x:v>Doprava</x:v>
      </x:c>
      <x:c r="E61" s="143" t="n">
        <x:v>1</x:v>
      </x:c>
      <x:c r="F61" s="143" t="str">
        <x:v>set</x:v>
      </x:c>
      <x:c r="G61" s="145" t="n">
        <x:f>'01_Rychla_kalkulace'!B12</x:f>
        <x:v>54000</x:v>
      </x:c>
      <x:c r="H61" s="145" t="n">
        <x:f>'01_Rychla_kalkulace'!B12</x:f>
        <x:v>54000</x:v>
      </x:c>
      <x:c r="I61" s="147" t="b">
        <x:v>1</x:v>
      </x:c>
      <x:c r="J61" s="143" t="str">
        <x:v>PILOT_RATE</x:v>
      </x:c>
      <x:c r="K61" s="128" t="str">
        <x:v>Tam i zpět × počet závozů</x:v>
      </x:c>
    </x:row>
    <x:row r="62">
      <x:c r="A62" s="143" t="n">
        <x:v>62</x:v>
      </x:c>
      <x:c r="B62" s="143" t="str">
        <x:v>RESERVE</x:v>
      </x:c>
      <x:c r="C62" s="143" t="str">
        <x:v>DOCUMENT_RESERVE</x:v>
      </x:c>
      <x:c r="D62" s="128" t="str">
        <x:v>Rezerva za neúplnost podkladu</x:v>
      </x:c>
      <x:c r="E62" s="143" t="n">
        <x:v>1</x:v>
      </x:c>
      <x:c r="F62" s="143" t="str">
        <x:v>set</x:v>
      </x:c>
      <x:c r="G62" s="145" t="n">
        <x:f>'01_Rychla_kalkulace'!B13</x:f>
        <x:v>90296.576982</x:v>
      </x:c>
      <x:c r="H62" s="145" t="n">
        <x:f>'01_Rychla_kalkulace'!B13</x:f>
        <x:v>90296.576982</x:v>
      </x:c>
      <x:c r="I62" s="147" t="b">
        <x:v>1</x:v>
      </x:c>
      <x:c r="J62" s="143" t="str">
        <x:v>PILOT_RATE</x:v>
      </x:c>
      <x:c r="K62" s="128" t="str">
        <x:v>Podle kvality dokumentace</x:v>
      </x:c>
    </x:row>
    <x:row r="63">
      <x:c r="A63" s="143" t="n">
        <x:v>63</x:v>
      </x:c>
      <x:c r="B63" s="143" t="str">
        <x:v>ADJUSTMENT</x:v>
      </x:c>
      <x:c r="C63" s="143" t="str">
        <x:v>ROUNDING</x:v>
      </x:c>
      <x:c r="D63" s="128" t="str">
        <x:v>Zaokrouhlení nabídky</x:v>
      </x:c>
      <x:c r="E63" s="143" t="n">
        <x:v>1</x:v>
      </x:c>
      <x:c r="F63" s="143" t="str">
        <x:v>set</x:v>
      </x:c>
      <x:c r="G63" s="145" t="n">
        <x:f>'01_Rychla_kalkulace'!B14</x:f>
        <x:v>-182.47638199990615</x:v>
      </x:c>
      <x:c r="H63" s="145" t="n">
        <x:f>'01_Rychla_kalkulace'!B14</x:f>
        <x:v>-182.47638199990615</x:v>
      </x:c>
      <x:c r="I63" s="147" t="b">
        <x:v>1</x:v>
      </x:c>
      <x:c r="J63" s="143" t="str">
        <x:v>PILOT_RATE</x:v>
      </x:c>
      <x:c r="K63" s="128" t="str">
        <x:v>Rozdíl do zaokrouhlené ceny</x:v>
      </x:c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21" t="str">
        <x:v>Kontrola</x:v>
      </x:c>
      <x:c r="B66" s="22" t="str">
        <x:v>Panelové položky</x:v>
      </x:c>
      <x:c r="C66" s="22" t="str">
        <x:v>Služby a úpravy</x:v>
      </x:c>
      <x:c r="D66" s="22" t="str">
        <x:v>Součet exportu</x:v>
      </x:c>
      <x:c r="E66" s="22" t="str">
        <x:v>Cena kalkulace bez DPH</x:v>
      </x:c>
      <x:c r="F66" s="22" t="str">
        <x:v>Rozdíl</x:v>
      </x:c>
      <x:c r="G66" s="22" t="str">
        <x:v>Stav</x:v>
      </x:c>
      <x:c r="H66" s="23" t="str">
        <x:v>Poznámka</x:v>
      </x:c>
      <x:c r="I66" s="32"/>
      <x:c r="J66" s="32"/>
      <x:c r="K66" s="32"/>
    </x:row>
    <x:row r="67">
      <x:c r="A67" s="32" t="str">
        <x:v>Export se rovná kalkulaci</x:v>
      </x:c>
      <x:c r="B67" s="134" t="n">
        <x:f>SUM(H7:H56)</x:f>
        <x:v>2394168.77</x:v>
      </x:c>
      <x:c r="C67" s="134" t="n">
        <x:f>SUM(H57:H63)</x:f>
        <x:v>705831.2300000001</x:v>
      </x:c>
      <x:c r="D67" s="134" t="n">
        <x:f>SUM(B67:C67)</x:f>
        <x:v>3100000</x:v>
      </x:c>
      <x:c r="E67" s="134" t="n">
        <x:f>'01_Rychla_kalkulace'!E7</x:f>
        <x:v>3100000</x:v>
      </x:c>
      <x:c r="F67" s="134" t="n">
        <x:f>D67-E67</x:f>
        <x:v>0</x:v>
      </x:c>
      <x:c r="G67" s="32" t="str">
        <x:f>IF(ABS(F67)&lt;0.01,"OK","CHYBA")</x:f>
        <x:v>OK</x:v>
      </x:c>
      <x:c r="H67" s="32" t="str">
        <x:v>Rozdíl musí být nulový.</x:v>
      </x:c>
      <x:c r="I67" s="32"/>
      <x:c r="J67" s="32"/>
      <x:c r="K67" s="32"/>
    </x:row>
  </x:sheetData>
  <x:mergeCells>
    <x:mergeCell ref="A1:K1"/>
    <x:mergeCell ref="A2:K2"/>
  </x:mergeCells>
  <x:conditionalFormatting sqref="E4:E4">
    <x:cfRule type="containsText" dxfId="10" priority="1" operator="containsText" text="CHYBA"/>
    <x:cfRule type="containsText" dxfId="11" priority="2" operator="containsText" text="MIMO"/>
    <x:cfRule type="containsText" dxfId="12" priority="3" operator="containsText" text="CHYBÍ"/>
    <x:cfRule type="containsText" dxfId="13" priority="4" operator="containsText" text="PŘEDBĚŽNÁ"/>
    <x:cfRule type="containsText" dxfId="14" priority="5" operator="containsText" text="OK"/>
  </x:conditionalFormatting>
  <x:conditionalFormatting sqref="G67:G67">
    <x:cfRule type="containsText" dxfId="15" priority="6" operator="containsText" text="CHYBA"/>
    <x:cfRule type="containsText" dxfId="16" priority="7" operator="containsText" text="MIMO"/>
    <x:cfRule type="containsText" dxfId="17" priority="8" operator="containsText" text="CHYBÍ"/>
    <x:cfRule type="containsText" dxfId="18" priority="9" operator="containsText" text="PŘEDBĚŽNÁ"/>
    <x:cfRule type="containsText" dxfId="19" priority="10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353bc1448ef147b3"/>
  </x:tableParts>
</x:worksheet>
</file>