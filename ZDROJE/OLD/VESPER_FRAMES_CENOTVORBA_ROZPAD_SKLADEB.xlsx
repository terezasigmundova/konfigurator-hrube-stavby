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erezasigmundova/Documents/KONFIGURÁTOR HRUBÉ STAVBY/ZDROJE/"/>
    </mc:Choice>
  </mc:AlternateContent>
  <xr:revisionPtr revIDLastSave="0" documentId="13_ncr:1_{8C87AD63-FC17-A94C-9DDB-EB7D2C4C5EC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1. Panely" sheetId="1" r:id="rId1"/>
    <sheet name="2. Služby a Staveniště" sheetId="2" r:id="rId2"/>
    <sheet name="3. Slevová Strategi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F32" i="3" s="1"/>
  <c r="D27" i="3"/>
  <c r="D26" i="3"/>
  <c r="E26" i="3" s="1"/>
  <c r="F26" i="3" s="1"/>
  <c r="D25" i="3"/>
  <c r="D24" i="3"/>
  <c r="D28" i="3" s="1"/>
  <c r="E30" i="2"/>
  <c r="E29" i="2"/>
  <c r="E28" i="2"/>
  <c r="E27" i="2"/>
  <c r="F23" i="2"/>
  <c r="F10" i="2"/>
  <c r="E10" i="2"/>
  <c r="F9" i="2"/>
  <c r="E9" i="2"/>
  <c r="F8" i="2"/>
  <c r="E8" i="2"/>
  <c r="F7" i="2"/>
  <c r="E7" i="2"/>
  <c r="F6" i="2"/>
  <c r="E6" i="2"/>
  <c r="H200" i="1"/>
  <c r="H199" i="1"/>
  <c r="H198" i="1"/>
  <c r="H201" i="1" s="1"/>
  <c r="H197" i="1"/>
  <c r="H185" i="1"/>
  <c r="H186" i="1" s="1"/>
  <c r="H184" i="1"/>
  <c r="H183" i="1"/>
  <c r="H182" i="1"/>
  <c r="H181" i="1"/>
  <c r="H180" i="1"/>
  <c r="H179" i="1"/>
  <c r="H167" i="1"/>
  <c r="H166" i="1"/>
  <c r="H165" i="1"/>
  <c r="H164" i="1"/>
  <c r="H163" i="1"/>
  <c r="H162" i="1"/>
  <c r="H161" i="1"/>
  <c r="H160" i="1"/>
  <c r="H168" i="1" s="1"/>
  <c r="H148" i="1"/>
  <c r="H147" i="1"/>
  <c r="H146" i="1"/>
  <c r="H145" i="1"/>
  <c r="H144" i="1"/>
  <c r="H143" i="1"/>
  <c r="H149" i="1" s="1"/>
  <c r="H142" i="1"/>
  <c r="H130" i="1"/>
  <c r="H131" i="1" s="1"/>
  <c r="H129" i="1"/>
  <c r="H128" i="1"/>
  <c r="H127" i="1"/>
  <c r="H126" i="1"/>
  <c r="H125" i="1"/>
  <c r="H113" i="1"/>
  <c r="H112" i="1"/>
  <c r="H111" i="1"/>
  <c r="H110" i="1"/>
  <c r="H114" i="1" s="1"/>
  <c r="H98" i="1"/>
  <c r="H97" i="1"/>
  <c r="H96" i="1"/>
  <c r="H95" i="1"/>
  <c r="H94" i="1"/>
  <c r="H99" i="1" s="1"/>
  <c r="H93" i="1"/>
  <c r="H92" i="1"/>
  <c r="H80" i="1"/>
  <c r="H79" i="1"/>
  <c r="H78" i="1"/>
  <c r="H77" i="1"/>
  <c r="H81" i="1" s="1"/>
  <c r="H65" i="1"/>
  <c r="H64" i="1"/>
  <c r="H63" i="1"/>
  <c r="H62" i="1"/>
  <c r="H61" i="1"/>
  <c r="H60" i="1"/>
  <c r="H66" i="1" s="1"/>
  <c r="H59" i="1"/>
  <c r="H47" i="1"/>
  <c r="H46" i="1"/>
  <c r="H45" i="1"/>
  <c r="H44" i="1"/>
  <c r="H43" i="1"/>
  <c r="H42" i="1"/>
  <c r="H41" i="1"/>
  <c r="H48" i="1" s="1"/>
  <c r="H29" i="1"/>
  <c r="H28" i="1"/>
  <c r="H30" i="1" s="1"/>
  <c r="H27" i="1"/>
  <c r="H26" i="1"/>
  <c r="H25" i="1"/>
  <c r="H24" i="1"/>
  <c r="H23" i="1"/>
  <c r="G16" i="1"/>
  <c r="H16" i="1" s="1"/>
  <c r="J16" i="1" s="1"/>
  <c r="F16" i="1"/>
  <c r="E16" i="1"/>
  <c r="G15" i="1"/>
  <c r="F15" i="1"/>
  <c r="E15" i="1"/>
  <c r="H15" i="1" s="1"/>
  <c r="J15" i="1" s="1"/>
  <c r="G14" i="1"/>
  <c r="H14" i="1" s="1"/>
  <c r="J14" i="1" s="1"/>
  <c r="F14" i="1"/>
  <c r="E14" i="1"/>
  <c r="G13" i="1"/>
  <c r="F13" i="1"/>
  <c r="H13" i="1" s="1"/>
  <c r="J13" i="1" s="1"/>
  <c r="E13" i="1"/>
  <c r="G12" i="1"/>
  <c r="F12" i="1"/>
  <c r="E12" i="1"/>
  <c r="H12" i="1" s="1"/>
  <c r="J12" i="1" s="1"/>
  <c r="H11" i="1"/>
  <c r="J11" i="1" s="1"/>
  <c r="G11" i="1"/>
  <c r="F11" i="1"/>
  <c r="E11" i="1"/>
  <c r="G10" i="1"/>
  <c r="F10" i="1"/>
  <c r="E10" i="1"/>
  <c r="H10" i="1" s="1"/>
  <c r="J10" i="1" s="1"/>
  <c r="H9" i="1"/>
  <c r="J9" i="1" s="1"/>
  <c r="G9" i="1"/>
  <c r="F9" i="1"/>
  <c r="E9" i="1"/>
  <c r="G8" i="1"/>
  <c r="H8" i="1" s="1"/>
  <c r="J8" i="1" s="1"/>
  <c r="F8" i="1"/>
  <c r="E8" i="1"/>
  <c r="G7" i="1"/>
  <c r="F7" i="1"/>
  <c r="E7" i="1"/>
  <c r="H7" i="1" s="1"/>
  <c r="J7" i="1" s="1"/>
  <c r="G6" i="1"/>
  <c r="H6" i="1" s="1"/>
  <c r="J6" i="1" s="1"/>
  <c r="F6" i="1"/>
  <c r="E6" i="1"/>
  <c r="H116" i="1" l="1"/>
  <c r="H115" i="1"/>
  <c r="H117" i="1"/>
  <c r="H118" i="1"/>
  <c r="H119" i="1" s="1"/>
  <c r="H132" i="1"/>
  <c r="H135" i="1"/>
  <c r="H136" i="1" s="1"/>
  <c r="H134" i="1"/>
  <c r="H133" i="1"/>
  <c r="H171" i="1"/>
  <c r="H170" i="1"/>
  <c r="H169" i="1"/>
  <c r="H172" i="1" s="1"/>
  <c r="H173" i="1" s="1"/>
  <c r="H204" i="1"/>
  <c r="H203" i="1"/>
  <c r="H202" i="1"/>
  <c r="H205" i="1" s="1"/>
  <c r="H206" i="1" s="1"/>
  <c r="H102" i="1"/>
  <c r="H101" i="1"/>
  <c r="H100" i="1"/>
  <c r="H103" i="1" s="1"/>
  <c r="H104" i="1" s="1"/>
  <c r="H150" i="1"/>
  <c r="H151" i="1"/>
  <c r="H153" i="1" s="1"/>
  <c r="H154" i="1" s="1"/>
  <c r="H152" i="1"/>
  <c r="D29" i="3"/>
  <c r="F29" i="3" s="1"/>
  <c r="D30" i="3"/>
  <c r="F30" i="3" s="1"/>
  <c r="H33" i="1"/>
  <c r="H34" i="1" s="1"/>
  <c r="H35" i="1" s="1"/>
  <c r="H32" i="1"/>
  <c r="H31" i="1"/>
  <c r="H82" i="1"/>
  <c r="H83" i="1"/>
  <c r="H85" i="1" s="1"/>
  <c r="H86" i="1" s="1"/>
  <c r="H84" i="1"/>
  <c r="F27" i="3"/>
  <c r="H51" i="1"/>
  <c r="H49" i="1"/>
  <c r="H50" i="1"/>
  <c r="H52" i="1" s="1"/>
  <c r="H53" i="1" s="1"/>
  <c r="H69" i="1"/>
  <c r="H68" i="1"/>
  <c r="H67" i="1"/>
  <c r="H70" i="1"/>
  <c r="H71" i="1" s="1"/>
  <c r="H190" i="1"/>
  <c r="H191" i="1" s="1"/>
  <c r="H189" i="1"/>
  <c r="H188" i="1"/>
  <c r="H187" i="1"/>
  <c r="E24" i="3"/>
  <c r="F24" i="3"/>
  <c r="E27" i="3"/>
  <c r="E25" i="3"/>
  <c r="F25" i="3" s="1"/>
  <c r="D33" i="3" l="1"/>
  <c r="E28" i="3"/>
  <c r="D34" i="3"/>
  <c r="D35" i="3" l="1"/>
  <c r="D36" i="3" s="1"/>
  <c r="E34" i="3"/>
  <c r="F28" i="3"/>
  <c r="F33" i="3" l="1"/>
  <c r="F34" i="3" s="1"/>
  <c r="E35" i="3"/>
  <c r="E36" i="3" s="1"/>
  <c r="F35" i="3" l="1"/>
  <c r="F36" i="3" s="1"/>
</calcChain>
</file>

<file path=xl/sharedStrings.xml><?xml version="1.0" encoding="utf-8"?>
<sst xmlns="http://schemas.openxmlformats.org/spreadsheetml/2006/main" count="712" uniqueCount="417">
  <si>
    <t>VESPER FRAMES — CENÍK VŠECH 11 PANELŮ, BENCHMARKY A KOMPLETNÍ VRSTVOVÝ ROZPAD</t>
  </si>
  <si>
    <t>Kompletní rozpad 11 certifikovaných DNK panelů: Nákup materiálu + Spotřebák (5%) + Elektro-infrastruktura &amp; vývrty (3%) + Dílna (15%) + Marže (35%) vs Benchmarky trhu.</t>
  </si>
  <si>
    <t>1.1 SOUHRNNÝ MASTER CENÍK VŠECH 11 PANELŮ VESPER FRAMES &amp; BENCHMARKING TRHU</t>
  </si>
  <si>
    <t>Kód panelu</t>
  </si>
  <si>
    <t>Název a specifikace panelu</t>
  </si>
  <si>
    <t>Tloušťka (mm)</t>
  </si>
  <si>
    <t>Materiál vrstev (Kč/m²)</t>
  </si>
  <si>
    <t>Spotřebák (5%)</t>
  </si>
  <si>
    <t>Elektro &amp; Vývrty (3%)</t>
  </si>
  <si>
    <t>Dílna Závod (15%)</t>
  </si>
  <si>
    <t>Přímé náklady (Kč/m²)</t>
  </si>
  <si>
    <t>Cílová marže (%)</t>
  </si>
  <si>
    <t>Ceníková cena Vesper bez DPH</t>
  </si>
  <si>
    <t>Tržní Benchmark konkurence (Kč/m²)</t>
  </si>
  <si>
    <t>OS_VF_01</t>
  </si>
  <si>
    <t>Obvodová stěna kontaktní (DNK 1.1)</t>
  </si>
  <si>
    <t>OS_VF_02</t>
  </si>
  <si>
    <t>Obvodová stěna s modřínovým obkladem (DNK 1.2)</t>
  </si>
  <si>
    <t>OS_VF_03</t>
  </si>
  <si>
    <t>Obvodová stěna Thermofasáda DP1</t>
  </si>
  <si>
    <t>NS_VF_01</t>
  </si>
  <si>
    <t>Vnitřní nosná stěna 170 mm</t>
  </si>
  <si>
    <t>DS_VF_01</t>
  </si>
  <si>
    <t>Akustická mezibytová dvojitá stěna 300 mm</t>
  </si>
  <si>
    <t>PS_VF_01</t>
  </si>
  <si>
    <t>Vnitřní nenosná příčka 100 mm</t>
  </si>
  <si>
    <t>STROP_RD</t>
  </si>
  <si>
    <t>Stropní dílec pro rodinné domy 432 mm</t>
  </si>
  <si>
    <t>STROP_BD</t>
  </si>
  <si>
    <t>Akustický strop s voštinovým zásypem 492 mm</t>
  </si>
  <si>
    <t>STRECHA_SIKMA</t>
  </si>
  <si>
    <t>Šikmá střecha s krokevní soustavou 455 mm</t>
  </si>
  <si>
    <t>STRECHA_PLOCHA</t>
  </si>
  <si>
    <t>Plochá střecha se spádovou izolací 564.5 mm</t>
  </si>
  <si>
    <t>PODLAHA_1NP</t>
  </si>
  <si>
    <t>Podlahový dílec 1.NP nad základovou deskou 170 mm</t>
  </si>
  <si>
    <t>1.2 KOMPLETNÍ DETAILNÍ VRSTVOVÝ ROZPAD VŠECH 11 PANELŮ (Materiál + Spojovací mat. + Elektro-infrastruktura + Dílna + Marže)</t>
  </si>
  <si>
    <t>SKLADBA: OS_VF_01 — Obvodová stěna kontaktní (DNK 1.1) (tl. 358.5 mm)</t>
  </si>
  <si>
    <t>Č. vrstvy</t>
  </si>
  <si>
    <t>Popis materiálu vrstvy</t>
  </si>
  <si>
    <t>Specifikace</t>
  </si>
  <si>
    <t>Jednotka</t>
  </si>
  <si>
    <t>Spotřeba/m²</t>
  </si>
  <si>
    <t>Cena/jednotku</t>
  </si>
  <si>
    <t>Cena vrstvy (Kč/m²)</t>
  </si>
  <si>
    <t>Vrstva 1</t>
  </si>
  <si>
    <t>Vnitřní sádrovláknitý záklop</t>
  </si>
  <si>
    <t>Fermacell 15 mm</t>
  </si>
  <si>
    <t>m²</t>
  </si>
  <si>
    <t>Vrstva 2</t>
  </si>
  <si>
    <t>Parotěsná zábrana se síťovinou</t>
  </si>
  <si>
    <t>Vesper VaporStop 0.2 mm</t>
  </si>
  <si>
    <t>Vrstva 3</t>
  </si>
  <si>
    <t>Nosný dřevěný skelet</t>
  </si>
  <si>
    <t>KVH hranol 160 mm</t>
  </si>
  <si>
    <t>m³</t>
  </si>
  <si>
    <t>Vrstva 4</t>
  </si>
  <si>
    <t>Mezilehlá tepelná &amp; akustická vata</t>
  </si>
  <si>
    <t>Isover Uni 160 mm</t>
  </si>
  <si>
    <t>Vrstva 5</t>
  </si>
  <si>
    <t>Vnější sádrovláknitá deska</t>
  </si>
  <si>
    <t>Fermacell H2O 15 mm</t>
  </si>
  <si>
    <t>Vrstva 6</t>
  </si>
  <si>
    <t>Fasádní izolace EPS/TF</t>
  </si>
  <si>
    <t>Fasádní deska TF 160 mm</t>
  </si>
  <si>
    <t>Vrstva 7</t>
  </si>
  <si>
    <t>Fasádní stěrkový tmel &amp; omítka</t>
  </si>
  <si>
    <t>Ceresit CT System</t>
  </si>
  <si>
    <t>a) Mezisoučet nákupní ceny materiálu vrstev — OS_VF_01</t>
  </si>
  <si>
    <t>b) Spojovací materiál, kování, spony &amp; tmelicí pásky (5 %)</t>
  </si>
  <si>
    <t>c) Zabudovaná elektro-infrastruktura, vývrty (husí krky, krabice, chráničky) (3 %)</t>
  </si>
  <si>
    <t>d) Přímá dílenská práce, manipulace &amp; režie Závodu Bruntál (15 %)</t>
  </si>
  <si>
    <t>e) CELKOVÉ PŘÍMÉ NÁKLADY VÝROBY PANELU — OS_VF_01 (Kč/m²)</t>
  </si>
  <si>
    <t>f) FINÁLNÍ CENÍKOVÁ CENA S MARŽÍ 35% — OS_VF_01 (Kč/m² bez DPH)</t>
  </si>
  <si>
    <t>g) TRŽNÍ BENCHMARK SROVNÁNÍ KONKURENCE (Kč/m²) — OS_VF_01</t>
  </si>
  <si>
    <t>SKLADBA: OS_VF_02 — Obvodová stěna s modřínovým obkladem (DNK 1.2) (tl. 431.0 mm)</t>
  </si>
  <si>
    <t>Parotěsná zábrana</t>
  </si>
  <si>
    <t>KVH hranol 200 mm</t>
  </si>
  <si>
    <t>Mezilehlá izolace</t>
  </si>
  <si>
    <t>Isover Uni 200 mm</t>
  </si>
  <si>
    <t>Dřevovláknitá deska</t>
  </si>
  <si>
    <t>STEICO protect 60 mm</t>
  </si>
  <si>
    <t>Provětrávaný dřevěný rošt</t>
  </si>
  <si>
    <t>Latě 40×60 mm (impregnované)</t>
  </si>
  <si>
    <t>Dřevěný obklad</t>
  </si>
  <si>
    <t>Sibiřský modřín Rhombus 24×68 mm</t>
  </si>
  <si>
    <t>a) Mezisoučet nákupní ceny materiálu vrstev — OS_VF_02</t>
  </si>
  <si>
    <t>e) CELKOVÉ PŘÍMÉ NÁKLADY VÝROBY PANELU — OS_VF_02 (Kč/m²)</t>
  </si>
  <si>
    <t>f) FINÁLNÍ CENÍKOVÁ CENA S MARŽÍ 35% — OS_VF_02 (Kč/m² bez DPH)</t>
  </si>
  <si>
    <t>g) TRŽNÍ BENCHMARK SROVNÁNÍ KONKURENCE (Kč/m²) — OS_VF_02</t>
  </si>
  <si>
    <t>SKLADBA: OS_VF_03 — Obvodová stěna Thermofasáda DP1 (tl. 368.5 mm)</t>
  </si>
  <si>
    <t>Protipožární záklop</t>
  </si>
  <si>
    <t>Knauf DF 15 mm</t>
  </si>
  <si>
    <t>Ocelový/Protipožární skelet</t>
  </si>
  <si>
    <t>DP1 ocelový profil 160 mm</t>
  </si>
  <si>
    <t>Požární minerální vata</t>
  </si>
  <si>
    <t>Knauf FKD N Thermal 160 mm</t>
  </si>
  <si>
    <t>Promat Promatect H 15 mm</t>
  </si>
  <si>
    <t>Fasádní izolace DP1</t>
  </si>
  <si>
    <t>Isover TF Profi 160 mm</t>
  </si>
  <si>
    <t>Omítkový systém DP1</t>
  </si>
  <si>
    <t>Weber therm A2 silikát</t>
  </si>
  <si>
    <t>a) Mezisoučet nákupní ceny materiálu vrstev — OS_VF_03</t>
  </si>
  <si>
    <t>e) CELKOVÉ PŘÍMÉ NÁKLADY VÝROBY PANELU — OS_VF_03 (Kč/m²)</t>
  </si>
  <si>
    <t>f) FINÁLNÍ CENÍKOVÁ CENA S MARŽÍ 35% — OS_VF_03 (Kč/m² bez DPH)</t>
  </si>
  <si>
    <t>g) TRŽNÍ BENCHMARK SROVNÁNÍ KONKURENCE (Kč/m²) — OS_VF_03</t>
  </si>
  <si>
    <t>SKLADBA: NS_VF_01 — Vnitřní nosná stěna 170 mm (tl. 170.0 mm)</t>
  </si>
  <si>
    <t>Záklop Strana A</t>
  </si>
  <si>
    <t>Nosný dřevěný rám</t>
  </si>
  <si>
    <t>KVH hranol 120 mm</t>
  </si>
  <si>
    <t>Akustická izolace</t>
  </si>
  <si>
    <t>Isover Piano 120 mm</t>
  </si>
  <si>
    <t>Záklop Strana B</t>
  </si>
  <si>
    <t>a) Mezisoučet nákupní ceny materiálu vrstev — NS_VF_01</t>
  </si>
  <si>
    <t>e) CELKOVÉ PŘÍMÉ NÁKLADY VÝROBY PANELU — NS_VF_01 (Kč/m²)</t>
  </si>
  <si>
    <t>f) FINÁLNÍ CENÍKOVÁ CENA S MARŽÍ 35% — NS_VF_01 (Kč/m² bez DPH)</t>
  </si>
  <si>
    <t>g) TRŽNÍ BENCHMARK SROVNÁNÍ KONKURENCE (Kč/m²) — NS_VF_01</t>
  </si>
  <si>
    <t>SKLADBA: DS_VF_01 — Akustická mezibytová dvojitá stěna 300 mm (tl. 300.0 mm)</t>
  </si>
  <si>
    <t>Vnější záklop Byty A</t>
  </si>
  <si>
    <t>1. Nosný Rám</t>
  </si>
  <si>
    <t>KVH hranol 100 mm</t>
  </si>
  <si>
    <t>1. Akustická výplň</t>
  </si>
  <si>
    <t>Isover Akustik 100 mm</t>
  </si>
  <si>
    <t>Vzduchová mezera</t>
  </si>
  <si>
    <t>Akustická mezera 20 mm</t>
  </si>
  <si>
    <t>2. Nosný Rám</t>
  </si>
  <si>
    <t>2. Akustická výplň</t>
  </si>
  <si>
    <t>Vnější záklop Byty B</t>
  </si>
  <si>
    <t>a) Mezisoučet nákupní ceny materiálu vrstev — DS_VF_01</t>
  </si>
  <si>
    <t>e) CELKOVÉ PŘÍMÉ NÁKLADY VÝROBY PANELU — DS_VF_01 (Kč/m²)</t>
  </si>
  <si>
    <t>f) FINÁLNÍ CENÍKOVÁ CENA S MARŽÍ 35% — DS_VF_01 (Kč/m² bez DPH)</t>
  </si>
  <si>
    <t>g) TRŽNÍ BENCHMARK SROVNÁNÍ KONKURENCE (Kč/m²) — DS_VF_01</t>
  </si>
  <si>
    <t>SKLADBA: PS_VF_01 — Vnitřní nenosná příčka 100 mm (tl. 100.0 mm)</t>
  </si>
  <si>
    <t>Fermacell 12.5 mm</t>
  </si>
  <si>
    <t>Příčkový rám</t>
  </si>
  <si>
    <t>KVH hranol 75 mm</t>
  </si>
  <si>
    <t>Isover Akustik 75 mm</t>
  </si>
  <si>
    <t>a) Mezisoučet nákupní ceny materiálu vrstev — PS_VF_01</t>
  </si>
  <si>
    <t>e) CELKOVÉ PŘÍMÉ NÁKLADY VÝROBY PANELU — PS_VF_01 (Kč/m²)</t>
  </si>
  <si>
    <t>f) FINÁLNÍ CENÍKOVÁ CENA S MARŽÍ 35% — PS_VF_01 (Kč/m² bez DPH)</t>
  </si>
  <si>
    <t>g) TRŽNÍ BENCHMARK SROVNÁNÍ KONKURENCE (Kč/m²) — PS_VF_01</t>
  </si>
  <si>
    <t>SKLADBA: STROP_RD — Stropní dílec pro rodinné domy 432 mm (tl. 432.0 mm)</t>
  </si>
  <si>
    <t>Podhledový záklop</t>
  </si>
  <si>
    <t>Akustický rošt</t>
  </si>
  <si>
    <t>Dřevěné laťování 40 mm + pružné závěsy</t>
  </si>
  <si>
    <t>Nosné trámy</t>
  </si>
  <si>
    <t>KVH / I-nosníky 240 mm</t>
  </si>
  <si>
    <t>Isover Piano 140 mm</t>
  </si>
  <si>
    <t>Kročejová deska</t>
  </si>
  <si>
    <t>Rigips Isover T-N 60 mm</t>
  </si>
  <si>
    <t>Roznášecí záklop</t>
  </si>
  <si>
    <t>OSB 3 deska N+D 22 mm</t>
  </si>
  <si>
    <t>a) Mezisoučet nákupní ceny materiálu vrstev — STROP_RD</t>
  </si>
  <si>
    <t>e) CELKOVÉ PŘÍMÉ NÁKLADY VÝROBY PANELU — STROP_RD (Kč/m²)</t>
  </si>
  <si>
    <t>f) FINÁLNÍ CENÍKOVÁ CENA S MARŽÍ 35% — STROP_RD (Kč/m² bez DPH)</t>
  </si>
  <si>
    <t>g) TRŽNÍ BENCHMARK SROVNÁNÍ KONKURENCE (Kč/m²) — STROP_RD</t>
  </si>
  <si>
    <t>SKLADBA: STROP_BD — Akustický strop s voštinovým zásypem 492 mm (tl. 492.0 mm)</t>
  </si>
  <si>
    <t>2× Fermacell 12.5 mm</t>
  </si>
  <si>
    <t>Akustické závěsy</t>
  </si>
  <si>
    <t>Vibroizolační profily Senor</t>
  </si>
  <si>
    <t>Těžký akustický Zásyp</t>
  </si>
  <si>
    <t>Fermacell Voštinový zásyp 60 mm</t>
  </si>
  <si>
    <t>Stropní I-nosníky</t>
  </si>
  <si>
    <t>Dřevěné I-nosníky 240 mm</t>
  </si>
  <si>
    <t>Vzduchová akustická vata</t>
  </si>
  <si>
    <t>Isover Akustik 140 mm</t>
  </si>
  <si>
    <t>Isover Floor 60 mm</t>
  </si>
  <si>
    <t>Tuhý podlahový prvek</t>
  </si>
  <si>
    <t>Fermacell E22 mm</t>
  </si>
  <si>
    <t>a) Mezisoučet nákupní ceny materiálu vrstev — STROP_BD</t>
  </si>
  <si>
    <t>e) CELKOVÉ PŘÍMÉ NÁKLADY VÝROBY PANELU — STROP_BD (Kč/m²)</t>
  </si>
  <si>
    <t>f) FINÁLNÍ CENÍKOVÁ CENA S MARŽÍ 35% — STROP_BD (Kč/m² bez DPH)</t>
  </si>
  <si>
    <t>g) TRŽNÍ BENCHMARK SROVNÁNÍ KONKURENCE (Kč/m²) — STROP_BD</t>
  </si>
  <si>
    <t>SKLADBA: STRECHA_SIKMA — Šikmá střecha s krokevní soustavou 455 mm (tl. 455.0 mm)</t>
  </si>
  <si>
    <t>Instalační rošt</t>
  </si>
  <si>
    <t>Latě 40×60 mm</t>
  </si>
  <si>
    <t>Reflexní parozábrana</t>
  </si>
  <si>
    <t>Vesper ReflectAlu 0.3 mm</t>
  </si>
  <si>
    <t>Nosné krokve</t>
  </si>
  <si>
    <t>KVH krokevní nosníky 240 mm</t>
  </si>
  <si>
    <t>Tepelná vata</t>
  </si>
  <si>
    <t>Isover Uni 240 mm</t>
  </si>
  <si>
    <t>Nadkrokevní deska</t>
  </si>
  <si>
    <t>STEICO special dry 60 mm</t>
  </si>
  <si>
    <t>Hydroizolační membrána</t>
  </si>
  <si>
    <t>Dörken Delta-Vent N</t>
  </si>
  <si>
    <t>Vrstva 8</t>
  </si>
  <si>
    <t>Kontralatě</t>
  </si>
  <si>
    <t>Impregnované latě 40×60 mm</t>
  </si>
  <si>
    <t>a) Mezisoučet nákupní ceny materiálu vrstev — STRECHA_SIKMA</t>
  </si>
  <si>
    <t>e) CELKOVÉ PŘÍMÉ NÁKLADY VÝROBY PANELU — STRECHA_SIKMA (Kč/m²)</t>
  </si>
  <si>
    <t>f) FINÁLNÍ CENÍKOVÁ CENA S MARŽÍ 35% — STRECHA_SIKMA (Kč/m² bez DPH)</t>
  </si>
  <si>
    <t>g) TRŽNÍ BENCHMARK SROVNÁNÍ KONKURENCE (Kč/m²) — STRECHA_SIKMA</t>
  </si>
  <si>
    <t>SKLADBA: STRECHA_PLOCHA — Plochá střecha se spádovou izolací 564.5 mm (tl. 564.5 mm)</t>
  </si>
  <si>
    <t>Vesper VaporStop Alu 0.4 mm</t>
  </si>
  <si>
    <t>Stropní &amp; střešní trámy</t>
  </si>
  <si>
    <t>KVH 240 mm</t>
  </si>
  <si>
    <t>Základní vata</t>
  </si>
  <si>
    <t>Záklopový nosný plášť</t>
  </si>
  <si>
    <t>Spádové klíny EPS</t>
  </si>
  <si>
    <t>Klíny EPS 150 Stabil 180 mm</t>
  </si>
  <si>
    <t>Hydroizolační mPVC fólie</t>
  </si>
  <si>
    <t>Fatrafol 810 (tl. 1.5 mm)</t>
  </si>
  <si>
    <t>a) Mezisoučet nákupní ceny materiálu vrstev — STRECHA_PLOCHA</t>
  </si>
  <si>
    <t>e) CELKOVÉ PŘÍMÉ NÁKLADY VÝROBY PANELU — STRECHA_PLOCHA (Kč/m²)</t>
  </si>
  <si>
    <t>f) FINÁLNÍ CENÍKOVÁ CENA S MARŽÍ 35% — STRECHA_PLOCHA (Kč/m² bez DPH)</t>
  </si>
  <si>
    <t>g) TRŽNÍ BENCHMARK SROVNÁNÍ KONKURENCE (Kč/m²) — STRECHA_PLOCHA</t>
  </si>
  <si>
    <t>SKLADBA: PODLAHA_1NP — Podlahový dílec 1.NP nad základovou deskou 170 mm (tl. 170.0 mm)</t>
  </si>
  <si>
    <t>Hydroizolační zábrana</t>
  </si>
  <si>
    <t>Glastek 40 Special Mineral</t>
  </si>
  <si>
    <t>Nosné KVH polštáře</t>
  </si>
  <si>
    <t>Tepelná izolace</t>
  </si>
  <si>
    <t>EPS 100 Stabil 120 mm</t>
  </si>
  <si>
    <t>a) Mezisoučet nákupní ceny materiálu vrstev — PODLAHA_1NP</t>
  </si>
  <si>
    <t>e) CELKOVÉ PŘÍMÉ NÁKLADY VÝROBY PANELU — PODLAHA_1NP (Kč/m²)</t>
  </si>
  <si>
    <t>f) FINÁLNÍ CENÍKOVÁ CENA S MARŽÍ 35% — PODLAHA_1NP (Kč/m² bez DPH)</t>
  </si>
  <si>
    <t>g) TRŽNÍ BENCHMARK SROVNÁNÍ KONKURENCE (Kč/m²) — PODLAHA_1NP</t>
  </si>
  <si>
    <t>Kompletní rozpad doprava, těžký jeřáb, zábor staveniště VČETNĚ MONTÁŽE A PRONÁJMU LEŠENÍ a technické rezervy.</t>
  </si>
  <si>
    <t>2.1 REGIONÁLNÍ ZÓNY KAMIONOVÉ DOPRAVY ZE ZÁVODU BRUNTÁL</t>
  </si>
  <si>
    <t>Zóna</t>
  </si>
  <si>
    <t>Region / Kraje ČR</t>
  </si>
  <si>
    <t>Vzdálenostní okruh</t>
  </si>
  <si>
    <t>Paušál / 1 kamion (bez DPH)</t>
  </si>
  <si>
    <t>Cena 3 kamiony (1NP Dům)</t>
  </si>
  <si>
    <t>Cena 6 kamionů (2NP Dům)</t>
  </si>
  <si>
    <t>Poznámka k přepravě</t>
  </si>
  <si>
    <t>Zóna 1</t>
  </si>
  <si>
    <t>Moravskoslezský &amp; Olomoucký kraj</t>
  </si>
  <si>
    <t>Domovská zóna do 80 km</t>
  </si>
  <si>
    <t>Závod Bruntál a blízké okolí</t>
  </si>
  <si>
    <t>Zóna 2</t>
  </si>
  <si>
    <t>Zlínský, Jihomoravský, Pardubický, Královéhradecký</t>
  </si>
  <si>
    <t>Sousední kraje 80–180 km</t>
  </si>
  <si>
    <t>Východní Čechy a Jižní Morava</t>
  </si>
  <si>
    <t>Zóna 3</t>
  </si>
  <si>
    <t>Praha, Středočeský, Vysočina, Liberecký kraj</t>
  </si>
  <si>
    <t>Střední Čechy 180–280 km</t>
  </si>
  <si>
    <t>Hlavní město Praha a metropolitní oblast</t>
  </si>
  <si>
    <t>Zóna 4</t>
  </si>
  <si>
    <t>Jihočeský, Plzeňský, Karlovarský, Ústecký kraj</t>
  </si>
  <si>
    <t>Západní &amp; Jižní Čechy 280–380 km</t>
  </si>
  <si>
    <t>Vzdálené regiony ČR</t>
  </si>
  <si>
    <t>Zóna 5</t>
  </si>
  <si>
    <t>Slovensko &amp; Zahraničí (Bratislava, Žilina)</t>
  </si>
  <si>
    <t>Export nad 380 km</t>
  </si>
  <si>
    <t>Mezinárodní kamionová přeprava</t>
  </si>
  <si>
    <t>2.2 POLOŽKOVÝ ROZPAD ZAŘÍZENÍ STAVENIŠTĚ VČETNĚ MONTÁŽE A PRONÁJMU LEŠENÍ</t>
  </si>
  <si>
    <t>Číslo položky</t>
  </si>
  <si>
    <t>Popis přípravné činnosti / BOZP / Lešení</t>
  </si>
  <si>
    <t>Zabezpečení / Dodavatel</t>
  </si>
  <si>
    <t>Počet</t>
  </si>
  <si>
    <t>Cena bez DPH (Kč)</t>
  </si>
  <si>
    <t>Kalkulační význam</t>
  </si>
  <si>
    <t>Položka 1</t>
  </si>
  <si>
    <t>Laserové zaměření staveniště a vytyčení bodů A/B</t>
  </si>
  <si>
    <t>Geodet Vesper / Technik</t>
  </si>
  <si>
    <t>Paušál</t>
  </si>
  <si>
    <t>Podklad pro založení</t>
  </si>
  <si>
    <t>Položka 2</t>
  </si>
  <si>
    <t>Projekt BOZP a koordinátor zhotovitele montáže</t>
  </si>
  <si>
    <t>Bezpečnostní technik BOZP</t>
  </si>
  <si>
    <t>Komp</t>
  </si>
  <si>
    <t>Legislativa BOZP</t>
  </si>
  <si>
    <t>Položka 3</t>
  </si>
  <si>
    <t>Vyřízení ohlášení záboru komunikace a obecní zábor</t>
  </si>
  <si>
    <t>Správní poplatek + MÚ</t>
  </si>
  <si>
    <t>Zábor veřejného prostranství</t>
  </si>
  <si>
    <t>Položka 4</t>
  </si>
  <si>
    <t>Mobilní WC TOI TOI a dočasné oplocení staveniště</t>
  </si>
  <si>
    <t>TOI TOI Czechia s.r.o.</t>
  </si>
  <si>
    <t>Soubor</t>
  </si>
  <si>
    <t>Hygiena a bezpečnost</t>
  </si>
  <si>
    <t>Položka 5</t>
  </si>
  <si>
    <t>Položka 6</t>
  </si>
  <si>
    <t>Ochranné pomůcky, nájezdové plošiny a BOZP značení</t>
  </si>
  <si>
    <t>Sklad Závodu Bruntál</t>
  </si>
  <si>
    <t>Sada</t>
  </si>
  <si>
    <t>Bezpečnost práce</t>
  </si>
  <si>
    <t>Položka 7</t>
  </si>
  <si>
    <t>Revize a staveništní rozvaděč elektro pro techniku</t>
  </si>
  <si>
    <t>Elektrotechnická revize</t>
  </si>
  <si>
    <t>Elektro přípojka BOZP</t>
  </si>
  <si>
    <t>CELKOVÉ ZAŘÍZENÍ STAVENIŠTĚ A LEŠENÍ BEZ DPH (Kč)</t>
  </si>
  <si>
    <t>2.3 PROCENTUÁLNÍ SAZEBNÍK MONTAŽE, JEŘÁBU A TECHNICKÉ REZERVY</t>
  </si>
  <si>
    <t>Položka služby</t>
  </si>
  <si>
    <t>Vstupní základ výpočtu</t>
  </si>
  <si>
    <t>Sazbové %</t>
  </si>
  <si>
    <t>Popis a garance služby</t>
  </si>
  <si>
    <t>Model (Panely 1 mil. Kč)</t>
  </si>
  <si>
    <t>Norma / Pravidlo</t>
  </si>
  <si>
    <t>Poznámka</t>
  </si>
  <si>
    <t>Certifikovaná montáž hrubé stavby</t>
  </si>
  <si>
    <t>Cena panelů bez DPH (panelsTotalExVat)</t>
  </si>
  <si>
    <t>DNK 1.1 Standard</t>
  </si>
  <si>
    <t>18% z panelů</t>
  </si>
  <si>
    <t>Těžký autojeřáb a manipulace</t>
  </si>
  <si>
    <t>ČSN ISO 4301</t>
  </si>
  <si>
    <t>4% z panelů</t>
  </si>
  <si>
    <t>Technická rezerva na vícepráce</t>
  </si>
  <si>
    <t>Mezisoučet (Panely+Montáž+Jeřáb+Doprava)</t>
  </si>
  <si>
    <t>Rezerva na neředvídané úpravy na staveništi či klimatické prodlevy.</t>
  </si>
  <si>
    <t>3% z mezisoučtu</t>
  </si>
  <si>
    <t>3% rezerva</t>
  </si>
  <si>
    <t>DPH rodinné domy</t>
  </si>
  <si>
    <t>Součet ceny bez DPH (totalExVat)</t>
  </si>
  <si>
    <t>Zákon o DPH § 48a</t>
  </si>
  <si>
    <t>12% DPH</t>
  </si>
  <si>
    <t>VESPER FRAMES — KAPACITNÍ SLEVOVÁ STRATEGIE &amp; CASHFLOW MODEL</t>
  </si>
  <si>
    <t>Strategické řízení slev v závislosti na horizontu plánování výroby Závodu Bruntál a vytížení kapacit.</t>
  </si>
  <si>
    <t>3.1 TŘI PILÍŘE KAPACITNÍ SLEVOVÉ POLITIKY</t>
  </si>
  <si>
    <t>Strategický pilíř / Scénář</t>
  </si>
  <si>
    <t>Horizont plánování</t>
  </si>
  <si>
    <t>Sleva z panelů</t>
  </si>
  <si>
    <t>Obchodní &amp; Výrobní logika</t>
  </si>
  <si>
    <t>Finanční přínos pro závod</t>
  </si>
  <si>
    <t>Rizika a eliminace</t>
  </si>
  <si>
    <t>Příklad měsíce</t>
  </si>
  <si>
    <t>A) Dlouhodobé plánování v předstihu</t>
  </si>
  <si>
    <t>6 až 9 měsíců dopředu</t>
  </si>
  <si>
    <t>Čím déle do budoucnosti výrobu naplánujeme, tím výhodnější cenu nabídneme. Zajišťuje plný výrobní kalendář.</t>
  </si>
  <si>
    <t>Jistota vytížení výroby, stabilní nákup materiálu ve velkých sériích.</t>
  </si>
  <si>
    <t>Inflační riziko růstu cen vstupů. Eliminováno garancí nákupních cen dřeva.</t>
  </si>
  <si>
    <t>Říjen / Duben (-30 %)</t>
  </si>
  <si>
    <t>B) Střednědobé doplňování kapacit</t>
  </si>
  <si>
    <t>2 až 4 měsíce dopředu</t>
  </si>
  <si>
    <t>Průběžné vykrývání standardních výrobních slotů běžnými zakázkami s mírnou podporou.</t>
  </si>
  <si>
    <t>Pravidelný standardní tok zakázek, vyvážená marže Závodu Bruntál.</t>
  </si>
  <si>
    <t>Nízké riziko, vyvážený výnos a provozní cashflow.</t>
  </si>
  <si>
    <t>Prosinec / Leden (-20 %)</t>
  </si>
  <si>
    <t>C) Okamžitá motivace &amp; Spot Cashflow</t>
  </si>
  <si>
    <t>Blízký horizont (1 měsíc)</t>
  </si>
  <si>
    <t>Pokud výroba nemá v blízkém horizontu naplněné kapacity, nabídneme výraznou slevu pro okamžitý nákup.</t>
  </si>
  <si>
    <t>Udržení plynulého cashflow, zamezení stojícím směnám a fixním nákladům dílny.</t>
  </si>
  <si>
    <t>Drobný pokles marže na zakázce, vyvážený pokrytím fixních nákladů dílny.</t>
  </si>
  <si>
    <t>Akční výprodej kapacity (-30 %)</t>
  </si>
  <si>
    <t>3.2 HARMONOGRAM SEZÓNNÍCH A KAPACITNÍCH SLEV V KONFIGURÁTORU</t>
  </si>
  <si>
    <t>Měsíc realizace</t>
  </si>
  <si>
    <t>Kód měsíce</t>
  </si>
  <si>
    <t>Stav volné kapacity výroby</t>
  </si>
  <si>
    <t>Sleva na materiál panelů</t>
  </si>
  <si>
    <t>Doporučení pro zákazníka</t>
  </si>
  <si>
    <t>Modelová úspora (Panely 1,0 mil.)</t>
  </si>
  <si>
    <t>Zisková marže po slevě</t>
  </si>
  <si>
    <t>Říjen 2026</t>
  </si>
  <si>
    <t>OCT</t>
  </si>
  <si>
    <t>Vysoká volná kapacita</t>
  </si>
  <si>
    <t>TOP Termín - Výhodný předstih</t>
  </si>
  <si>
    <t>17.5 % čistá marže</t>
  </si>
  <si>
    <t>Listopad 2026</t>
  </si>
  <si>
    <t>NOV</t>
  </si>
  <si>
    <t>Volná kapacita výroby</t>
  </si>
  <si>
    <t>Vysoká úspora rozpočtu</t>
  </si>
  <si>
    <t>21.0 % čistá marže</t>
  </si>
  <si>
    <t>Prosinec 2026</t>
  </si>
  <si>
    <t>DEC</t>
  </si>
  <si>
    <t>Střední kapacita výroby</t>
  </si>
  <si>
    <t>Zimní plánování</t>
  </si>
  <si>
    <t>24.5 % čistá marže</t>
  </si>
  <si>
    <t>Leden 2027</t>
  </si>
  <si>
    <t>JAN</t>
  </si>
  <si>
    <t>Zimní plánování výroby</t>
  </si>
  <si>
    <t>Únor 2027</t>
  </si>
  <si>
    <t>FEB</t>
  </si>
  <si>
    <t>Standardní kapacita</t>
  </si>
  <si>
    <t>Standardní ceníková cena</t>
  </si>
  <si>
    <t>35.0 % plná marže</t>
  </si>
  <si>
    <t>Březen 2027</t>
  </si>
  <si>
    <t>MAR</t>
  </si>
  <si>
    <t>Jarní náběh kapacity</t>
  </si>
  <si>
    <t>Jarní zvýhodněný termín</t>
  </si>
  <si>
    <t>Duben 2027</t>
  </si>
  <si>
    <t>APR</t>
  </si>
  <si>
    <t>3.3 INTERAKTIVNÍ MARŽOVÁ KALKULAČKA S KAPACITNÍ SLEVOU (MODEL DOMU)</t>
  </si>
  <si>
    <t>Položka výpočtu rozpočtu</t>
  </si>
  <si>
    <t>Výměra / Hodnota</t>
  </si>
  <si>
    <t>Sazba / Ceníková cena</t>
  </si>
  <si>
    <t>Cena bez DPH</t>
  </si>
  <si>
    <t>Kapacitní sleva (-30%)</t>
  </si>
  <si>
    <t>Akční cena bez DPH</t>
  </si>
  <si>
    <t>Výrobní marže po slevě</t>
  </si>
  <si>
    <t>Certifikované obvodové stěny OS_VF_01</t>
  </si>
  <si>
    <t>17.5% Čistá marže</t>
  </si>
  <si>
    <t>Certifikované vnitřní stěny NS_VF_01</t>
  </si>
  <si>
    <t>Stropní dílec rodinného domu STROP_RD</t>
  </si>
  <si>
    <t>Střešní panel šikmé střechy STRECHA_SIKMA</t>
  </si>
  <si>
    <t>SOUČET MATERIÁLU DÍLCŮ (PANELŮ)</t>
  </si>
  <si>
    <t>455 m²</t>
  </si>
  <si>
    <t>Průměr</t>
  </si>
  <si>
    <t>Bezpečná marže</t>
  </si>
  <si>
    <t>18 %</t>
  </si>
  <si>
    <t>4 %</t>
  </si>
  <si>
    <t>Zábor staveniště a pronájem lešení</t>
  </si>
  <si>
    <t>Vč. lešení 15k</t>
  </si>
  <si>
    <t>Doprava Zóna 3 (Střední Čechy)</t>
  </si>
  <si>
    <t>3 kamiony</t>
  </si>
  <si>
    <t>3 kamiony Zóna 3</t>
  </si>
  <si>
    <t>3 %</t>
  </si>
  <si>
    <t>CELKOVÝ ROZPOČET BEZ DPH</t>
  </si>
  <si>
    <t>K úhradě</t>
  </si>
  <si>
    <t>Sazeber</t>
  </si>
  <si>
    <t>Akční základ DPH</t>
  </si>
  <si>
    <t>DPH 12 % pro rodinné domy</t>
  </si>
  <si>
    <t>12 %</t>
  </si>
  <si>
    <t>Snížená DPH</t>
  </si>
  <si>
    <t>KONEČNÁ CENA S DPH PRO ZÁKAZNÍKA</t>
  </si>
  <si>
    <t>S DPH</t>
  </si>
  <si>
    <t>Výsledná cena</t>
  </si>
  <si>
    <t>MONTÁŽ, DEMONTÁŽ A PRONÁJEM CERTIFIKOVANÉHO LEŠENÍ</t>
  </si>
  <si>
    <t>Stavba</t>
  </si>
  <si>
    <t>Příprava staveniště</t>
  </si>
  <si>
    <t>Položka 8</t>
  </si>
  <si>
    <t>Vodovodní přípojka s kohoutem</t>
  </si>
  <si>
    <t>Instalace</t>
  </si>
  <si>
    <t>Přípojka vody</t>
  </si>
  <si>
    <t>Mobilní autojeřáb, vázací prostředky a bezpečná manipulace.</t>
  </si>
  <si>
    <t>Snížená sazba DPH pro stavby pro bydlení od roku 2026.</t>
  </si>
  <si>
    <t>VESPER FRAMES — KALKULACE SLUŽEB, LOGISTIKY, LEŠENÍ A PŘÍPRAVY STAVENIŠTĚ – CENY PRO ZÁKAZNÍKA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</si>
</sst>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K\č"/>
    <numFmt numFmtId="165" formatCode="0.0%"/>
    <numFmt numFmtId="166" formatCode="#,##0\ \K\č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475569"/>
      <name val="Calibri"/>
      <family val="2"/>
    </font>
    <font>
      <b/>
      <sz val="13"/>
      <color rgb="FF0F172A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onsolas"/>
      <family val="2"/>
    </font>
    <font>
      <b/>
      <sz val="11"/>
      <color rgb="FF0F172A"/>
      <name val="Calibri"/>
      <family val="2"/>
    </font>
    <font>
      <sz val="11"/>
      <color rgb="FF1E293B"/>
      <name val="Calibri"/>
      <family val="2"/>
    </font>
    <font>
      <b/>
      <sz val="11"/>
      <color rgb="FF1E40AF"/>
      <name val="Calibri"/>
      <family val="2"/>
    </font>
    <font>
      <b/>
      <sz val="11"/>
      <color rgb="FF04785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334155"/>
        <bgColor rgb="FF334155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/>
    <xf numFmtId="164" fontId="6" fillId="3" borderId="2" xfId="0" applyNumberFormat="1" applyFont="1" applyFill="1" applyBorder="1"/>
    <xf numFmtId="165" fontId="6" fillId="0" borderId="2" xfId="0" applyNumberFormat="1" applyFont="1" applyBorder="1" applyAlignment="1">
      <alignment horizontal="center" vertical="center"/>
    </xf>
    <xf numFmtId="164" fontId="6" fillId="5" borderId="2" xfId="0" applyNumberFormat="1" applyFont="1" applyFill="1" applyBorder="1"/>
    <xf numFmtId="164" fontId="8" fillId="6" borderId="2" xfId="0" applyNumberFormat="1" applyFont="1" applyFill="1" applyBorder="1"/>
    <xf numFmtId="0" fontId="7" fillId="0" borderId="2" xfId="0" applyFont="1" applyBorder="1"/>
    <xf numFmtId="2" fontId="7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/>
    <xf numFmtId="0" fontId="0" fillId="0" borderId="3" xfId="0" applyBorder="1"/>
    <xf numFmtId="164" fontId="8" fillId="6" borderId="3" xfId="0" applyNumberFormat="1" applyFont="1" applyFill="1" applyBorder="1"/>
    <xf numFmtId="0" fontId="6" fillId="0" borderId="2" xfId="0" applyFont="1" applyBorder="1" applyAlignment="1">
      <alignment horizontal="center" vertical="center"/>
    </xf>
    <xf numFmtId="166" fontId="6" fillId="3" borderId="2" xfId="0" applyNumberFormat="1" applyFont="1" applyFill="1" applyBorder="1"/>
    <xf numFmtId="166" fontId="7" fillId="0" borderId="2" xfId="0" applyNumberFormat="1" applyFont="1" applyBorder="1"/>
    <xf numFmtId="166" fontId="6" fillId="0" borderId="2" xfId="0" applyNumberFormat="1" applyFont="1" applyBorder="1"/>
    <xf numFmtId="166" fontId="6" fillId="5" borderId="3" xfId="0" applyNumberFormat="1" applyFont="1" applyFill="1" applyBorder="1"/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165" fontId="9" fillId="7" borderId="2" xfId="0" applyNumberFormat="1" applyFont="1" applyFill="1" applyBorder="1" applyAlignment="1">
      <alignment vertical="center" wrapText="1"/>
    </xf>
    <xf numFmtId="165" fontId="9" fillId="7" borderId="2" xfId="0" applyNumberFormat="1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/>
    <xf numFmtId="166" fontId="6" fillId="7" borderId="2" xfId="0" applyNumberFormat="1" applyFont="1" applyFill="1" applyBorder="1"/>
    <xf numFmtId="166" fontId="6" fillId="5" borderId="2" xfId="0" applyNumberFormat="1" applyFont="1" applyFill="1" applyBorder="1"/>
    <xf numFmtId="166" fontId="4" fillId="2" borderId="2" xfId="0" applyNumberFormat="1" applyFont="1" applyFill="1" applyBorder="1"/>
    <xf numFmtId="0" fontId="7" fillId="0" borderId="2" xfId="0" applyFont="1" applyBorder="1" applyAlignment="1">
      <alignment horizontal="right" vertical="center"/>
    </xf>
    <xf numFmtId="0" fontId="0" fillId="0" borderId="2" xfId="0" applyBorder="1"/>
    <xf numFmtId="0" fontId="6" fillId="0" borderId="2" xfId="0" applyFont="1" applyBorder="1" applyAlignment="1">
      <alignment horizontal="right" vertical="center"/>
    </xf>
    <xf numFmtId="0" fontId="6" fillId="5" borderId="0" xfId="0" applyFont="1" applyFill="1" applyAlignment="1">
      <alignment horizontal="left" vertical="center" indent="1"/>
    </xf>
    <xf numFmtId="0" fontId="0" fillId="0" borderId="0" xfId="0"/>
    <xf numFmtId="0" fontId="6" fillId="0" borderId="3" xfId="0" applyFont="1" applyBorder="1" applyAlignment="1">
      <alignment horizontal="right" vertical="center"/>
    </xf>
    <xf numFmtId="0" fontId="0" fillId="0" borderId="3" xfId="0" applyBorder="1"/>
    <xf numFmtId="0" fontId="2" fillId="0" borderId="0" xfId="0" applyFont="1"/>
    <xf numFmtId="0" fontId="3" fillId="3" borderId="0" xfId="0" applyFont="1" applyFill="1"/>
    <xf numFmtId="0" fontId="1" fillId="2" borderId="0" xfId="0" applyFont="1" applyFill="1" applyAlignment="1">
      <alignment horizontal="left" vertical="center" indent="1"/>
    </xf>
    <xf numFmtId="0" fontId="6" fillId="0" borderId="2" xfId="0" applyFont="1" applyFill="1" applyBorder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"/>
  <sheetViews>
    <sheetView tabSelected="1" topLeftCell="A273" workbookViewId="0">
      <selection sqref="A1:K1"/>
    </sheetView>
  </sheetViews>
  <sheetFormatPr baseColWidth="10" defaultColWidth="8.83203125" defaultRowHeight="15" x14ac:dyDescent="0.2"/>
  <cols>
    <col min="1" max="1" width="18" customWidth="1"/>
    <col min="2" max="2" width="48" customWidth="1"/>
    <col min="3" max="3" width="16" customWidth="1"/>
    <col min="4" max="4" width="24" customWidth="1"/>
    <col min="5" max="5" width="20" customWidth="1"/>
    <col min="6" max="6" width="24" customWidth="1"/>
    <col min="7" max="7" width="22" customWidth="1"/>
    <col min="8" max="8" width="26" customWidth="1"/>
    <col min="9" max="9" width="18" customWidth="1"/>
    <col min="10" max="10" width="28" customWidth="1"/>
    <col min="11" max="11" width="30" customWidth="1"/>
  </cols>
  <sheetData>
    <row r="1" spans="1:11" ht="40" customHeight="1" x14ac:dyDescent="0.2">
      <c r="A1" s="38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2" customHeight="1" x14ac:dyDescent="0.2">
      <c r="A2" s="36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spans="1:11" ht="26" customHeight="1" x14ac:dyDescent="0.2">
      <c r="A4" s="37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ht="28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1" ht="22" customHeight="1" x14ac:dyDescent="0.2">
      <c r="A6" s="2" t="s">
        <v>14</v>
      </c>
      <c r="B6" s="3" t="s">
        <v>15</v>
      </c>
      <c r="C6" s="4">
        <v>358.5</v>
      </c>
      <c r="D6" s="5">
        <v>5312.5</v>
      </c>
      <c r="E6" s="5">
        <f t="shared" ref="E6:E16" si="0">D6*0.05</f>
        <v>265.625</v>
      </c>
      <c r="F6" s="5">
        <f t="shared" ref="F6:F16" si="1">D6*0.03</f>
        <v>159.375</v>
      </c>
      <c r="G6" s="5">
        <f t="shared" ref="G6:G16" si="2">D6*0.15</f>
        <v>796.875</v>
      </c>
      <c r="H6" s="6">
        <f t="shared" ref="H6:H16" si="3">SUM(D6:G6)</f>
        <v>6534.375</v>
      </c>
      <c r="I6" s="7">
        <v>0.35</v>
      </c>
      <c r="J6" s="8">
        <f t="shared" ref="J6:J16" si="4">H6/(1-I6)</f>
        <v>10052.884615384615</v>
      </c>
      <c r="K6" s="9">
        <v>9200</v>
      </c>
    </row>
    <row r="7" spans="1:11" ht="22" customHeight="1" x14ac:dyDescent="0.2">
      <c r="A7" s="2" t="s">
        <v>16</v>
      </c>
      <c r="B7" s="3" t="s">
        <v>17</v>
      </c>
      <c r="C7" s="4">
        <v>431</v>
      </c>
      <c r="D7" s="5">
        <v>6562.5</v>
      </c>
      <c r="E7" s="5">
        <f t="shared" si="0"/>
        <v>328.125</v>
      </c>
      <c r="F7" s="5">
        <f t="shared" si="1"/>
        <v>196.875</v>
      </c>
      <c r="G7" s="5">
        <f t="shared" si="2"/>
        <v>984.375</v>
      </c>
      <c r="H7" s="6">
        <f t="shared" si="3"/>
        <v>8071.875</v>
      </c>
      <c r="I7" s="7">
        <v>0.35</v>
      </c>
      <c r="J7" s="8">
        <f t="shared" si="4"/>
        <v>12418.26923076923</v>
      </c>
      <c r="K7" s="9">
        <v>11400</v>
      </c>
    </row>
    <row r="8" spans="1:11" ht="22" customHeight="1" x14ac:dyDescent="0.2">
      <c r="A8" s="2" t="s">
        <v>18</v>
      </c>
      <c r="B8" s="3" t="s">
        <v>19</v>
      </c>
      <c r="C8" s="4">
        <v>368.5</v>
      </c>
      <c r="D8" s="5">
        <v>5625</v>
      </c>
      <c r="E8" s="5">
        <f t="shared" si="0"/>
        <v>281.25</v>
      </c>
      <c r="F8" s="5">
        <f t="shared" si="1"/>
        <v>168.75</v>
      </c>
      <c r="G8" s="5">
        <f t="shared" si="2"/>
        <v>843.75</v>
      </c>
      <c r="H8" s="6">
        <f t="shared" si="3"/>
        <v>6918.75</v>
      </c>
      <c r="I8" s="7">
        <v>0.35</v>
      </c>
      <c r="J8" s="8">
        <f t="shared" si="4"/>
        <v>10644.23076923077</v>
      </c>
      <c r="K8" s="9">
        <v>9800</v>
      </c>
    </row>
    <row r="9" spans="1:11" ht="22" customHeight="1" x14ac:dyDescent="0.2">
      <c r="A9" s="2" t="s">
        <v>20</v>
      </c>
      <c r="B9" s="3" t="s">
        <v>21</v>
      </c>
      <c r="C9" s="4">
        <v>170</v>
      </c>
      <c r="D9" s="5">
        <v>2187.5</v>
      </c>
      <c r="E9" s="5">
        <f t="shared" si="0"/>
        <v>109.375</v>
      </c>
      <c r="F9" s="5">
        <f t="shared" si="1"/>
        <v>65.625</v>
      </c>
      <c r="G9" s="5">
        <f t="shared" si="2"/>
        <v>328.125</v>
      </c>
      <c r="H9" s="6">
        <f t="shared" si="3"/>
        <v>2690.625</v>
      </c>
      <c r="I9" s="7">
        <v>0.35</v>
      </c>
      <c r="J9" s="8">
        <f t="shared" si="4"/>
        <v>4139.4230769230771</v>
      </c>
      <c r="K9" s="9">
        <v>3800</v>
      </c>
    </row>
    <row r="10" spans="1:11" ht="22" customHeight="1" x14ac:dyDescent="0.2">
      <c r="A10" s="2" t="s">
        <v>22</v>
      </c>
      <c r="B10" s="3" t="s">
        <v>23</v>
      </c>
      <c r="C10" s="4">
        <v>300</v>
      </c>
      <c r="D10" s="5">
        <v>3437.5</v>
      </c>
      <c r="E10" s="5">
        <f t="shared" si="0"/>
        <v>171.875</v>
      </c>
      <c r="F10" s="5">
        <f t="shared" si="1"/>
        <v>103.125</v>
      </c>
      <c r="G10" s="5">
        <f t="shared" si="2"/>
        <v>515.625</v>
      </c>
      <c r="H10" s="6">
        <f t="shared" si="3"/>
        <v>4228.125</v>
      </c>
      <c r="I10" s="7">
        <v>0.35</v>
      </c>
      <c r="J10" s="8">
        <f t="shared" si="4"/>
        <v>6504.8076923076924</v>
      </c>
      <c r="K10" s="9">
        <v>5950</v>
      </c>
    </row>
    <row r="11" spans="1:11" ht="22" customHeight="1" x14ac:dyDescent="0.2">
      <c r="A11" s="2" t="s">
        <v>24</v>
      </c>
      <c r="B11" s="3" t="s">
        <v>25</v>
      </c>
      <c r="C11" s="4">
        <v>100</v>
      </c>
      <c r="D11" s="5">
        <v>1750</v>
      </c>
      <c r="E11" s="5">
        <f t="shared" si="0"/>
        <v>87.5</v>
      </c>
      <c r="F11" s="5">
        <f t="shared" si="1"/>
        <v>52.5</v>
      </c>
      <c r="G11" s="5">
        <f t="shared" si="2"/>
        <v>262.5</v>
      </c>
      <c r="H11" s="6">
        <f t="shared" si="3"/>
        <v>2152.5</v>
      </c>
      <c r="I11" s="7">
        <v>0.35</v>
      </c>
      <c r="J11" s="8">
        <f t="shared" si="4"/>
        <v>3311.5384615384614</v>
      </c>
      <c r="K11" s="9">
        <v>3050</v>
      </c>
    </row>
    <row r="12" spans="1:11" ht="22" customHeight="1" x14ac:dyDescent="0.2">
      <c r="A12" s="2" t="s">
        <v>26</v>
      </c>
      <c r="B12" s="3" t="s">
        <v>27</v>
      </c>
      <c r="C12" s="4">
        <v>432</v>
      </c>
      <c r="D12" s="5">
        <v>3761.91</v>
      </c>
      <c r="E12" s="5">
        <f t="shared" si="0"/>
        <v>188.09550000000002</v>
      </c>
      <c r="F12" s="5">
        <f t="shared" si="1"/>
        <v>112.8573</v>
      </c>
      <c r="G12" s="5">
        <f t="shared" si="2"/>
        <v>564.28649999999993</v>
      </c>
      <c r="H12" s="6">
        <f t="shared" si="3"/>
        <v>4627.1493</v>
      </c>
      <c r="I12" s="7">
        <v>0.35</v>
      </c>
      <c r="J12" s="8">
        <f t="shared" si="4"/>
        <v>7118.691230769231</v>
      </c>
      <c r="K12" s="9">
        <v>6500</v>
      </c>
    </row>
    <row r="13" spans="1:11" ht="22" customHeight="1" x14ac:dyDescent="0.2">
      <c r="A13" s="2" t="s">
        <v>28</v>
      </c>
      <c r="B13" s="3" t="s">
        <v>29</v>
      </c>
      <c r="C13" s="4">
        <v>492</v>
      </c>
      <c r="D13" s="5">
        <v>4687.5</v>
      </c>
      <c r="E13" s="5">
        <f t="shared" si="0"/>
        <v>234.375</v>
      </c>
      <c r="F13" s="5">
        <f t="shared" si="1"/>
        <v>140.625</v>
      </c>
      <c r="G13" s="5">
        <f t="shared" si="2"/>
        <v>703.125</v>
      </c>
      <c r="H13" s="6">
        <f t="shared" si="3"/>
        <v>5765.625</v>
      </c>
      <c r="I13" s="7">
        <v>0.35</v>
      </c>
      <c r="J13" s="8">
        <f t="shared" si="4"/>
        <v>8870.1923076923067</v>
      </c>
      <c r="K13" s="9">
        <v>8100</v>
      </c>
    </row>
    <row r="14" spans="1:11" ht="22" customHeight="1" x14ac:dyDescent="0.2">
      <c r="A14" s="2" t="s">
        <v>30</v>
      </c>
      <c r="B14" s="3" t="s">
        <v>31</v>
      </c>
      <c r="C14" s="4">
        <v>455</v>
      </c>
      <c r="D14" s="5">
        <v>3872.98</v>
      </c>
      <c r="E14" s="5">
        <f t="shared" si="0"/>
        <v>193.649</v>
      </c>
      <c r="F14" s="5">
        <f t="shared" si="1"/>
        <v>116.18939999999999</v>
      </c>
      <c r="G14" s="5">
        <f t="shared" si="2"/>
        <v>580.947</v>
      </c>
      <c r="H14" s="6">
        <f t="shared" si="3"/>
        <v>4763.7654000000002</v>
      </c>
      <c r="I14" s="7">
        <v>0.35</v>
      </c>
      <c r="J14" s="8">
        <f t="shared" si="4"/>
        <v>7328.8698461538461</v>
      </c>
      <c r="K14" s="9">
        <v>6700</v>
      </c>
    </row>
    <row r="15" spans="1:11" ht="22" customHeight="1" x14ac:dyDescent="0.2">
      <c r="A15" s="2" t="s">
        <v>32</v>
      </c>
      <c r="B15" s="3" t="s">
        <v>33</v>
      </c>
      <c r="C15" s="4">
        <v>564.5</v>
      </c>
      <c r="D15" s="5">
        <v>4375</v>
      </c>
      <c r="E15" s="5">
        <f t="shared" si="0"/>
        <v>218.75</v>
      </c>
      <c r="F15" s="5">
        <f t="shared" si="1"/>
        <v>131.25</v>
      </c>
      <c r="G15" s="5">
        <f t="shared" si="2"/>
        <v>656.25</v>
      </c>
      <c r="H15" s="6">
        <f t="shared" si="3"/>
        <v>5381.25</v>
      </c>
      <c r="I15" s="7">
        <v>0.35</v>
      </c>
      <c r="J15" s="8">
        <f t="shared" si="4"/>
        <v>8278.8461538461543</v>
      </c>
      <c r="K15" s="9">
        <v>7550</v>
      </c>
    </row>
    <row r="16" spans="1:11" ht="22" customHeight="1" x14ac:dyDescent="0.2">
      <c r="A16" s="2" t="s">
        <v>34</v>
      </c>
      <c r="B16" s="3" t="s">
        <v>35</v>
      </c>
      <c r="C16" s="4">
        <v>170</v>
      </c>
      <c r="D16" s="5">
        <v>2187.5</v>
      </c>
      <c r="E16" s="5">
        <f t="shared" si="0"/>
        <v>109.375</v>
      </c>
      <c r="F16" s="5">
        <f t="shared" si="1"/>
        <v>65.625</v>
      </c>
      <c r="G16" s="5">
        <f t="shared" si="2"/>
        <v>328.125</v>
      </c>
      <c r="H16" s="6">
        <f t="shared" si="3"/>
        <v>2690.625</v>
      </c>
      <c r="I16" s="7">
        <v>0.35</v>
      </c>
      <c r="J16" s="8">
        <f t="shared" si="4"/>
        <v>4139.4230769230771</v>
      </c>
      <c r="K16" s="9">
        <v>3800</v>
      </c>
    </row>
    <row r="19" spans="1:11" ht="26" customHeight="1" x14ac:dyDescent="0.2">
      <c r="A19" s="37" t="s">
        <v>36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1" spans="1:11" ht="24" customHeight="1" x14ac:dyDescent="0.2">
      <c r="A21" s="32" t="s">
        <v>37</v>
      </c>
      <c r="B21" s="33"/>
      <c r="C21" s="33"/>
      <c r="D21" s="33"/>
      <c r="E21" s="33"/>
      <c r="F21" s="33"/>
      <c r="G21" s="33"/>
      <c r="H21" s="33"/>
    </row>
    <row r="22" spans="1:11" ht="22" customHeight="1" x14ac:dyDescent="0.2">
      <c r="A22" s="1" t="s">
        <v>38</v>
      </c>
      <c r="B22" s="1" t="s">
        <v>39</v>
      </c>
      <c r="C22" s="1" t="s">
        <v>40</v>
      </c>
      <c r="D22" s="1" t="s">
        <v>5</v>
      </c>
      <c r="E22" s="1" t="s">
        <v>41</v>
      </c>
      <c r="F22" s="1" t="s">
        <v>42</v>
      </c>
      <c r="G22" s="1" t="s">
        <v>43</v>
      </c>
      <c r="H22" s="1" t="s">
        <v>44</v>
      </c>
    </row>
    <row r="23" spans="1:11" ht="20" customHeight="1" x14ac:dyDescent="0.2">
      <c r="A23" s="4" t="s">
        <v>45</v>
      </c>
      <c r="B23" s="3" t="s">
        <v>46</v>
      </c>
      <c r="C23" s="10" t="s">
        <v>47</v>
      </c>
      <c r="D23" s="4">
        <v>15</v>
      </c>
      <c r="E23" s="4" t="s">
        <v>48</v>
      </c>
      <c r="F23" s="11">
        <v>1.05</v>
      </c>
      <c r="G23" s="5">
        <v>280</v>
      </c>
      <c r="H23" s="12">
        <f t="shared" ref="H23:H29" si="5">F23*G23</f>
        <v>294</v>
      </c>
    </row>
    <row r="24" spans="1:11" ht="20" customHeight="1" x14ac:dyDescent="0.2">
      <c r="A24" s="4" t="s">
        <v>49</v>
      </c>
      <c r="B24" s="3" t="s">
        <v>50</v>
      </c>
      <c r="C24" s="10" t="s">
        <v>51</v>
      </c>
      <c r="D24" s="4">
        <v>0.2</v>
      </c>
      <c r="E24" s="4" t="s">
        <v>48</v>
      </c>
      <c r="F24" s="11">
        <v>1.1000000000000001</v>
      </c>
      <c r="G24" s="5">
        <v>45</v>
      </c>
      <c r="H24" s="12">
        <f t="shared" si="5"/>
        <v>49.500000000000007</v>
      </c>
    </row>
    <row r="25" spans="1:11" ht="20" customHeight="1" x14ac:dyDescent="0.2">
      <c r="A25" s="4" t="s">
        <v>52</v>
      </c>
      <c r="B25" s="3" t="s">
        <v>53</v>
      </c>
      <c r="C25" s="10" t="s">
        <v>54</v>
      </c>
      <c r="D25" s="4">
        <v>160</v>
      </c>
      <c r="E25" s="4" t="s">
        <v>55</v>
      </c>
      <c r="F25" s="11">
        <v>3.2000000000000001E-2</v>
      </c>
      <c r="G25" s="5">
        <v>12500</v>
      </c>
      <c r="H25" s="12">
        <f t="shared" si="5"/>
        <v>400</v>
      </c>
    </row>
    <row r="26" spans="1:11" ht="20" customHeight="1" x14ac:dyDescent="0.2">
      <c r="A26" s="4" t="s">
        <v>56</v>
      </c>
      <c r="B26" s="3" t="s">
        <v>57</v>
      </c>
      <c r="C26" s="10" t="s">
        <v>58</v>
      </c>
      <c r="D26" s="4">
        <v>160</v>
      </c>
      <c r="E26" s="4" t="s">
        <v>48</v>
      </c>
      <c r="F26" s="11">
        <v>1.02</v>
      </c>
      <c r="G26" s="5">
        <v>360</v>
      </c>
      <c r="H26" s="12">
        <f t="shared" si="5"/>
        <v>367.2</v>
      </c>
    </row>
    <row r="27" spans="1:11" ht="20" customHeight="1" x14ac:dyDescent="0.2">
      <c r="A27" s="4" t="s">
        <v>59</v>
      </c>
      <c r="B27" s="3" t="s">
        <v>60</v>
      </c>
      <c r="C27" s="10" t="s">
        <v>61</v>
      </c>
      <c r="D27" s="4">
        <v>15</v>
      </c>
      <c r="E27" s="4" t="s">
        <v>48</v>
      </c>
      <c r="F27" s="11">
        <v>1.05</v>
      </c>
      <c r="G27" s="5">
        <v>320</v>
      </c>
      <c r="H27" s="12">
        <f t="shared" si="5"/>
        <v>336</v>
      </c>
    </row>
    <row r="28" spans="1:11" ht="20" customHeight="1" x14ac:dyDescent="0.2">
      <c r="A28" s="4" t="s">
        <v>62</v>
      </c>
      <c r="B28" s="3" t="s">
        <v>63</v>
      </c>
      <c r="C28" s="10" t="s">
        <v>64</v>
      </c>
      <c r="D28" s="4">
        <v>160</v>
      </c>
      <c r="E28" s="4" t="s">
        <v>48</v>
      </c>
      <c r="F28" s="11">
        <v>1.02</v>
      </c>
      <c r="G28" s="5">
        <v>480</v>
      </c>
      <c r="H28" s="12">
        <f t="shared" si="5"/>
        <v>489.6</v>
      </c>
    </row>
    <row r="29" spans="1:11" ht="20" customHeight="1" x14ac:dyDescent="0.2">
      <c r="A29" s="4" t="s">
        <v>65</v>
      </c>
      <c r="B29" s="3" t="s">
        <v>66</v>
      </c>
      <c r="C29" s="10" t="s">
        <v>67</v>
      </c>
      <c r="D29" s="4">
        <v>8.3000000000000007</v>
      </c>
      <c r="E29" s="4" t="s">
        <v>48</v>
      </c>
      <c r="F29" s="11">
        <v>1.05</v>
      </c>
      <c r="G29" s="5">
        <v>390</v>
      </c>
      <c r="H29" s="12">
        <f t="shared" si="5"/>
        <v>409.5</v>
      </c>
    </row>
    <row r="30" spans="1:11" ht="22" customHeight="1" x14ac:dyDescent="0.2">
      <c r="A30" s="31" t="s">
        <v>68</v>
      </c>
      <c r="B30" s="30"/>
      <c r="C30" s="30"/>
      <c r="D30" s="30"/>
      <c r="E30" s="30"/>
      <c r="F30" s="30"/>
      <c r="G30" s="30"/>
      <c r="H30" s="6">
        <f>SUM(H23:H29)</f>
        <v>2345.8000000000002</v>
      </c>
    </row>
    <row r="31" spans="1:11" ht="20" customHeight="1" x14ac:dyDescent="0.2">
      <c r="A31" s="29" t="s">
        <v>69</v>
      </c>
      <c r="B31" s="30"/>
      <c r="C31" s="30"/>
      <c r="D31" s="30"/>
      <c r="E31" s="30"/>
      <c r="F31" s="30"/>
      <c r="G31" s="30"/>
      <c r="H31" s="5">
        <f>H30*0.05</f>
        <v>117.29000000000002</v>
      </c>
    </row>
    <row r="32" spans="1:11" ht="20" customHeight="1" x14ac:dyDescent="0.2">
      <c r="A32" s="29" t="s">
        <v>70</v>
      </c>
      <c r="B32" s="30"/>
      <c r="C32" s="30"/>
      <c r="D32" s="30"/>
      <c r="E32" s="30"/>
      <c r="F32" s="30"/>
      <c r="G32" s="30"/>
      <c r="H32" s="5">
        <f>H30*0.03</f>
        <v>70.374000000000009</v>
      </c>
    </row>
    <row r="33" spans="1:8" ht="20" customHeight="1" x14ac:dyDescent="0.2">
      <c r="A33" s="29" t="s">
        <v>71</v>
      </c>
      <c r="B33" s="30"/>
      <c r="C33" s="30"/>
      <c r="D33" s="30"/>
      <c r="E33" s="30"/>
      <c r="F33" s="30"/>
      <c r="G33" s="30"/>
      <c r="H33" s="5">
        <f>H30*0.15</f>
        <v>351.87</v>
      </c>
    </row>
    <row r="34" spans="1:8" ht="24" customHeight="1" x14ac:dyDescent="0.2">
      <c r="A34" s="31" t="s">
        <v>72</v>
      </c>
      <c r="B34" s="30"/>
      <c r="C34" s="30"/>
      <c r="D34" s="30"/>
      <c r="E34" s="30"/>
      <c r="F34" s="30"/>
      <c r="G34" s="30"/>
      <c r="H34" s="6">
        <f>SUM(H30:H33)</f>
        <v>2885.3339999999998</v>
      </c>
    </row>
    <row r="35" spans="1:8" ht="24" customHeight="1" x14ac:dyDescent="0.2">
      <c r="A35" s="31" t="s">
        <v>73</v>
      </c>
      <c r="B35" s="30"/>
      <c r="C35" s="30"/>
      <c r="D35" s="30"/>
      <c r="E35" s="30"/>
      <c r="F35" s="30"/>
      <c r="G35" s="30"/>
      <c r="H35" s="8">
        <f>H34/(1-0.35)</f>
        <v>4438.9753846153844</v>
      </c>
    </row>
    <row r="36" spans="1:8" ht="24" customHeight="1" x14ac:dyDescent="0.2">
      <c r="A36" s="34" t="s">
        <v>74</v>
      </c>
      <c r="B36" s="35"/>
      <c r="C36" s="35"/>
      <c r="D36" s="35"/>
      <c r="E36" s="35"/>
      <c r="F36" s="35"/>
      <c r="G36" s="35"/>
      <c r="H36" s="14">
        <v>9200</v>
      </c>
    </row>
    <row r="39" spans="1:8" ht="24" customHeight="1" x14ac:dyDescent="0.2">
      <c r="A39" s="32" t="s">
        <v>75</v>
      </c>
      <c r="B39" s="33"/>
      <c r="C39" s="33"/>
      <c r="D39" s="33"/>
      <c r="E39" s="33"/>
      <c r="F39" s="33"/>
      <c r="G39" s="33"/>
      <c r="H39" s="33"/>
    </row>
    <row r="40" spans="1:8" ht="22" customHeight="1" x14ac:dyDescent="0.2">
      <c r="A40" s="1" t="s">
        <v>38</v>
      </c>
      <c r="B40" s="1" t="s">
        <v>39</v>
      </c>
      <c r="C40" s="1" t="s">
        <v>40</v>
      </c>
      <c r="D40" s="1" t="s">
        <v>5</v>
      </c>
      <c r="E40" s="1" t="s">
        <v>41</v>
      </c>
      <c r="F40" s="1" t="s">
        <v>42</v>
      </c>
      <c r="G40" s="1" t="s">
        <v>43</v>
      </c>
      <c r="H40" s="1" t="s">
        <v>44</v>
      </c>
    </row>
    <row r="41" spans="1:8" ht="20" customHeight="1" x14ac:dyDescent="0.2">
      <c r="A41" s="4" t="s">
        <v>45</v>
      </c>
      <c r="B41" s="3" t="s">
        <v>46</v>
      </c>
      <c r="C41" s="10" t="s">
        <v>47</v>
      </c>
      <c r="D41" s="4">
        <v>15</v>
      </c>
      <c r="E41" s="4" t="s">
        <v>48</v>
      </c>
      <c r="F41" s="11">
        <v>1.05</v>
      </c>
      <c r="G41" s="5">
        <v>280</v>
      </c>
      <c r="H41" s="12">
        <f t="shared" ref="H41:H47" si="6">F41*G41</f>
        <v>294</v>
      </c>
    </row>
    <row r="42" spans="1:8" ht="20" customHeight="1" x14ac:dyDescent="0.2">
      <c r="A42" s="4" t="s">
        <v>49</v>
      </c>
      <c r="B42" s="3" t="s">
        <v>76</v>
      </c>
      <c r="C42" s="10" t="s">
        <v>51</v>
      </c>
      <c r="D42" s="4">
        <v>0.2</v>
      </c>
      <c r="E42" s="4" t="s">
        <v>48</v>
      </c>
      <c r="F42" s="11">
        <v>1.1000000000000001</v>
      </c>
      <c r="G42" s="5">
        <v>45</v>
      </c>
      <c r="H42" s="12">
        <f t="shared" si="6"/>
        <v>49.500000000000007</v>
      </c>
    </row>
    <row r="43" spans="1:8" ht="20" customHeight="1" x14ac:dyDescent="0.2">
      <c r="A43" s="4" t="s">
        <v>52</v>
      </c>
      <c r="B43" s="3" t="s">
        <v>53</v>
      </c>
      <c r="C43" s="10" t="s">
        <v>77</v>
      </c>
      <c r="D43" s="4">
        <v>200</v>
      </c>
      <c r="E43" s="4" t="s">
        <v>55</v>
      </c>
      <c r="F43" s="11">
        <v>0.04</v>
      </c>
      <c r="G43" s="5">
        <v>12500</v>
      </c>
      <c r="H43" s="12">
        <f t="shared" si="6"/>
        <v>500</v>
      </c>
    </row>
    <row r="44" spans="1:8" ht="20" customHeight="1" x14ac:dyDescent="0.2">
      <c r="A44" s="4" t="s">
        <v>56</v>
      </c>
      <c r="B44" s="3" t="s">
        <v>78</v>
      </c>
      <c r="C44" s="10" t="s">
        <v>79</v>
      </c>
      <c r="D44" s="4">
        <v>200</v>
      </c>
      <c r="E44" s="4" t="s">
        <v>48</v>
      </c>
      <c r="F44" s="11">
        <v>1.02</v>
      </c>
      <c r="G44" s="5">
        <v>450</v>
      </c>
      <c r="H44" s="12">
        <f t="shared" si="6"/>
        <v>459</v>
      </c>
    </row>
    <row r="45" spans="1:8" ht="20" customHeight="1" x14ac:dyDescent="0.2">
      <c r="A45" s="4" t="s">
        <v>59</v>
      </c>
      <c r="B45" s="3" t="s">
        <v>80</v>
      </c>
      <c r="C45" s="10" t="s">
        <v>81</v>
      </c>
      <c r="D45" s="4">
        <v>60</v>
      </c>
      <c r="E45" s="4" t="s">
        <v>48</v>
      </c>
      <c r="F45" s="11">
        <v>1.05</v>
      </c>
      <c r="G45" s="5">
        <v>520</v>
      </c>
      <c r="H45" s="12">
        <f t="shared" si="6"/>
        <v>546</v>
      </c>
    </row>
    <row r="46" spans="1:8" ht="20" customHeight="1" x14ac:dyDescent="0.2">
      <c r="A46" s="4" t="s">
        <v>62</v>
      </c>
      <c r="B46" s="3" t="s">
        <v>82</v>
      </c>
      <c r="C46" s="10" t="s">
        <v>83</v>
      </c>
      <c r="D46" s="4">
        <v>40</v>
      </c>
      <c r="E46" s="4" t="s">
        <v>55</v>
      </c>
      <c r="F46" s="11">
        <v>8.0000000000000002E-3</v>
      </c>
      <c r="G46" s="5">
        <v>11000</v>
      </c>
      <c r="H46" s="12">
        <f t="shared" si="6"/>
        <v>88</v>
      </c>
    </row>
    <row r="47" spans="1:8" ht="20" customHeight="1" x14ac:dyDescent="0.2">
      <c r="A47" s="4" t="s">
        <v>65</v>
      </c>
      <c r="B47" s="3" t="s">
        <v>84</v>
      </c>
      <c r="C47" s="10" t="s">
        <v>85</v>
      </c>
      <c r="D47" s="4">
        <v>24</v>
      </c>
      <c r="E47" s="4" t="s">
        <v>48</v>
      </c>
      <c r="F47" s="11">
        <v>1.1200000000000001</v>
      </c>
      <c r="G47" s="5">
        <v>1150</v>
      </c>
      <c r="H47" s="12">
        <f t="shared" si="6"/>
        <v>1288.0000000000002</v>
      </c>
    </row>
    <row r="48" spans="1:8" ht="22" customHeight="1" x14ac:dyDescent="0.2">
      <c r="A48" s="31" t="s">
        <v>86</v>
      </c>
      <c r="B48" s="30"/>
      <c r="C48" s="30"/>
      <c r="D48" s="30"/>
      <c r="E48" s="30"/>
      <c r="F48" s="30"/>
      <c r="G48" s="30"/>
      <c r="H48" s="6">
        <f>SUM(H41:H47)</f>
        <v>3224.5</v>
      </c>
    </row>
    <row r="49" spans="1:8" ht="20" customHeight="1" x14ac:dyDescent="0.2">
      <c r="A49" s="29" t="s">
        <v>69</v>
      </c>
      <c r="B49" s="30"/>
      <c r="C49" s="30"/>
      <c r="D49" s="30"/>
      <c r="E49" s="30"/>
      <c r="F49" s="30"/>
      <c r="G49" s="30"/>
      <c r="H49" s="5">
        <f>H48*0.05</f>
        <v>161.22500000000002</v>
      </c>
    </row>
    <row r="50" spans="1:8" ht="20" customHeight="1" x14ac:dyDescent="0.2">
      <c r="A50" s="29" t="s">
        <v>70</v>
      </c>
      <c r="B50" s="30"/>
      <c r="C50" s="30"/>
      <c r="D50" s="30"/>
      <c r="E50" s="30"/>
      <c r="F50" s="30"/>
      <c r="G50" s="30"/>
      <c r="H50" s="5">
        <f>H48*0.03</f>
        <v>96.734999999999999</v>
      </c>
    </row>
    <row r="51" spans="1:8" ht="20" customHeight="1" x14ac:dyDescent="0.2">
      <c r="A51" s="29" t="s">
        <v>71</v>
      </c>
      <c r="B51" s="30"/>
      <c r="C51" s="30"/>
      <c r="D51" s="30"/>
      <c r="E51" s="30"/>
      <c r="F51" s="30"/>
      <c r="G51" s="30"/>
      <c r="H51" s="5">
        <f>H48*0.15</f>
        <v>483.67499999999995</v>
      </c>
    </row>
    <row r="52" spans="1:8" ht="24" customHeight="1" x14ac:dyDescent="0.2">
      <c r="A52" s="31" t="s">
        <v>87</v>
      </c>
      <c r="B52" s="30"/>
      <c r="C52" s="30"/>
      <c r="D52" s="30"/>
      <c r="E52" s="30"/>
      <c r="F52" s="30"/>
      <c r="G52" s="30"/>
      <c r="H52" s="6">
        <f>SUM(H48:H51)</f>
        <v>3966.1350000000002</v>
      </c>
    </row>
    <row r="53" spans="1:8" ht="24" customHeight="1" x14ac:dyDescent="0.2">
      <c r="A53" s="31" t="s">
        <v>88</v>
      </c>
      <c r="B53" s="30"/>
      <c r="C53" s="30"/>
      <c r="D53" s="30"/>
      <c r="E53" s="30"/>
      <c r="F53" s="30"/>
      <c r="G53" s="30"/>
      <c r="H53" s="8">
        <f>H52/(1-0.35)</f>
        <v>6101.7461538461539</v>
      </c>
    </row>
    <row r="54" spans="1:8" ht="24" customHeight="1" x14ac:dyDescent="0.2">
      <c r="A54" s="34" t="s">
        <v>89</v>
      </c>
      <c r="B54" s="35"/>
      <c r="C54" s="35"/>
      <c r="D54" s="35"/>
      <c r="E54" s="35"/>
      <c r="F54" s="35"/>
      <c r="G54" s="35"/>
      <c r="H54" s="14">
        <v>11400</v>
      </c>
    </row>
    <row r="57" spans="1:8" ht="24" customHeight="1" x14ac:dyDescent="0.2">
      <c r="A57" s="32" t="s">
        <v>90</v>
      </c>
      <c r="B57" s="33"/>
      <c r="C57" s="33"/>
      <c r="D57" s="33"/>
      <c r="E57" s="33"/>
      <c r="F57" s="33"/>
      <c r="G57" s="33"/>
      <c r="H57" s="33"/>
    </row>
    <row r="58" spans="1:8" ht="22" customHeight="1" x14ac:dyDescent="0.2">
      <c r="A58" s="1" t="s">
        <v>38</v>
      </c>
      <c r="B58" s="1" t="s">
        <v>39</v>
      </c>
      <c r="C58" s="1" t="s">
        <v>40</v>
      </c>
      <c r="D58" s="1" t="s">
        <v>5</v>
      </c>
      <c r="E58" s="1" t="s">
        <v>41</v>
      </c>
      <c r="F58" s="1" t="s">
        <v>42</v>
      </c>
      <c r="G58" s="1" t="s">
        <v>43</v>
      </c>
      <c r="H58" s="1" t="s">
        <v>44</v>
      </c>
    </row>
    <row r="59" spans="1:8" ht="20" customHeight="1" x14ac:dyDescent="0.2">
      <c r="A59" s="4" t="s">
        <v>45</v>
      </c>
      <c r="B59" s="3" t="s">
        <v>91</v>
      </c>
      <c r="C59" s="10" t="s">
        <v>92</v>
      </c>
      <c r="D59" s="4">
        <v>15</v>
      </c>
      <c r="E59" s="4" t="s">
        <v>48</v>
      </c>
      <c r="F59" s="11">
        <v>1.05</v>
      </c>
      <c r="G59" s="5">
        <v>190</v>
      </c>
      <c r="H59" s="12">
        <f t="shared" ref="H59:H65" si="7">F59*G59</f>
        <v>199.5</v>
      </c>
    </row>
    <row r="60" spans="1:8" ht="20" customHeight="1" x14ac:dyDescent="0.2">
      <c r="A60" s="4" t="s">
        <v>49</v>
      </c>
      <c r="B60" s="3" t="s">
        <v>76</v>
      </c>
      <c r="C60" s="10" t="s">
        <v>51</v>
      </c>
      <c r="D60" s="4">
        <v>0.2</v>
      </c>
      <c r="E60" s="4" t="s">
        <v>48</v>
      </c>
      <c r="F60" s="11">
        <v>1.1000000000000001</v>
      </c>
      <c r="G60" s="5">
        <v>45</v>
      </c>
      <c r="H60" s="12">
        <f t="shared" si="7"/>
        <v>49.500000000000007</v>
      </c>
    </row>
    <row r="61" spans="1:8" ht="20" customHeight="1" x14ac:dyDescent="0.2">
      <c r="A61" s="4" t="s">
        <v>52</v>
      </c>
      <c r="B61" s="3" t="s">
        <v>93</v>
      </c>
      <c r="C61" s="10" t="s">
        <v>94</v>
      </c>
      <c r="D61" s="4">
        <v>160</v>
      </c>
      <c r="E61" s="4" t="s">
        <v>55</v>
      </c>
      <c r="F61" s="11">
        <v>3.5000000000000003E-2</v>
      </c>
      <c r="G61" s="5">
        <v>18500</v>
      </c>
      <c r="H61" s="12">
        <f t="shared" si="7"/>
        <v>647.50000000000011</v>
      </c>
    </row>
    <row r="62" spans="1:8" ht="20" customHeight="1" x14ac:dyDescent="0.2">
      <c r="A62" s="4" t="s">
        <v>56</v>
      </c>
      <c r="B62" s="3" t="s">
        <v>95</v>
      </c>
      <c r="C62" s="10" t="s">
        <v>96</v>
      </c>
      <c r="D62" s="4">
        <v>160</v>
      </c>
      <c r="E62" s="4" t="s">
        <v>48</v>
      </c>
      <c r="F62" s="11">
        <v>1.02</v>
      </c>
      <c r="G62" s="5">
        <v>540</v>
      </c>
      <c r="H62" s="12">
        <f t="shared" si="7"/>
        <v>550.79999999999995</v>
      </c>
    </row>
    <row r="63" spans="1:8" ht="20" customHeight="1" x14ac:dyDescent="0.2">
      <c r="A63" s="4" t="s">
        <v>59</v>
      </c>
      <c r="B63" s="3" t="s">
        <v>91</v>
      </c>
      <c r="C63" s="10" t="s">
        <v>97</v>
      </c>
      <c r="D63" s="4">
        <v>15</v>
      </c>
      <c r="E63" s="4" t="s">
        <v>48</v>
      </c>
      <c r="F63" s="11">
        <v>1.05</v>
      </c>
      <c r="G63" s="5">
        <v>890</v>
      </c>
      <c r="H63" s="12">
        <f t="shared" si="7"/>
        <v>934.5</v>
      </c>
    </row>
    <row r="64" spans="1:8" ht="20" customHeight="1" x14ac:dyDescent="0.2">
      <c r="A64" s="4" t="s">
        <v>62</v>
      </c>
      <c r="B64" s="3" t="s">
        <v>98</v>
      </c>
      <c r="C64" s="10" t="s">
        <v>99</v>
      </c>
      <c r="D64" s="4">
        <v>160</v>
      </c>
      <c r="E64" s="4" t="s">
        <v>48</v>
      </c>
      <c r="F64" s="11">
        <v>1.02</v>
      </c>
      <c r="G64" s="5">
        <v>520</v>
      </c>
      <c r="H64" s="12">
        <f t="shared" si="7"/>
        <v>530.4</v>
      </c>
    </row>
    <row r="65" spans="1:8" ht="20" customHeight="1" x14ac:dyDescent="0.2">
      <c r="A65" s="4" t="s">
        <v>65</v>
      </c>
      <c r="B65" s="3" t="s">
        <v>100</v>
      </c>
      <c r="C65" s="10" t="s">
        <v>101</v>
      </c>
      <c r="D65" s="4">
        <v>8.3000000000000007</v>
      </c>
      <c r="E65" s="4" t="s">
        <v>48</v>
      </c>
      <c r="F65" s="11">
        <v>1.05</v>
      </c>
      <c r="G65" s="5">
        <v>460</v>
      </c>
      <c r="H65" s="12">
        <f t="shared" si="7"/>
        <v>483</v>
      </c>
    </row>
    <row r="66" spans="1:8" ht="22" customHeight="1" x14ac:dyDescent="0.2">
      <c r="A66" s="31" t="s">
        <v>102</v>
      </c>
      <c r="B66" s="30"/>
      <c r="C66" s="30"/>
      <c r="D66" s="30"/>
      <c r="E66" s="30"/>
      <c r="F66" s="30"/>
      <c r="G66" s="30"/>
      <c r="H66" s="6">
        <f>SUM(H59:H65)</f>
        <v>3395.2000000000003</v>
      </c>
    </row>
    <row r="67" spans="1:8" ht="20" customHeight="1" x14ac:dyDescent="0.2">
      <c r="A67" s="29" t="s">
        <v>69</v>
      </c>
      <c r="B67" s="30"/>
      <c r="C67" s="30"/>
      <c r="D67" s="30"/>
      <c r="E67" s="30"/>
      <c r="F67" s="30"/>
      <c r="G67" s="30"/>
      <c r="H67" s="5">
        <f>H66*0.05</f>
        <v>169.76000000000002</v>
      </c>
    </row>
    <row r="68" spans="1:8" ht="20" customHeight="1" x14ac:dyDescent="0.2">
      <c r="A68" s="29" t="s">
        <v>70</v>
      </c>
      <c r="B68" s="30"/>
      <c r="C68" s="30"/>
      <c r="D68" s="30"/>
      <c r="E68" s="30"/>
      <c r="F68" s="30"/>
      <c r="G68" s="30"/>
      <c r="H68" s="5">
        <f>H66*0.03</f>
        <v>101.85600000000001</v>
      </c>
    </row>
    <row r="69" spans="1:8" ht="20" customHeight="1" x14ac:dyDescent="0.2">
      <c r="A69" s="29" t="s">
        <v>71</v>
      </c>
      <c r="B69" s="30"/>
      <c r="C69" s="30"/>
      <c r="D69" s="30"/>
      <c r="E69" s="30"/>
      <c r="F69" s="30"/>
      <c r="G69" s="30"/>
      <c r="H69" s="5">
        <f>H66*0.15</f>
        <v>509.28000000000003</v>
      </c>
    </row>
    <row r="70" spans="1:8" ht="24" customHeight="1" x14ac:dyDescent="0.2">
      <c r="A70" s="31" t="s">
        <v>103</v>
      </c>
      <c r="B70" s="30"/>
      <c r="C70" s="30"/>
      <c r="D70" s="30"/>
      <c r="E70" s="30"/>
      <c r="F70" s="30"/>
      <c r="G70" s="30"/>
      <c r="H70" s="6">
        <f>SUM(H66:H69)</f>
        <v>4176.0960000000005</v>
      </c>
    </row>
    <row r="71" spans="1:8" ht="24" customHeight="1" x14ac:dyDescent="0.2">
      <c r="A71" s="31" t="s">
        <v>104</v>
      </c>
      <c r="B71" s="30"/>
      <c r="C71" s="30"/>
      <c r="D71" s="30"/>
      <c r="E71" s="30"/>
      <c r="F71" s="30"/>
      <c r="G71" s="30"/>
      <c r="H71" s="8">
        <f>H70/(1-0.35)</f>
        <v>6424.7630769230773</v>
      </c>
    </row>
    <row r="72" spans="1:8" ht="24" customHeight="1" x14ac:dyDescent="0.2">
      <c r="A72" s="34" t="s">
        <v>105</v>
      </c>
      <c r="B72" s="35"/>
      <c r="C72" s="35"/>
      <c r="D72" s="35"/>
      <c r="E72" s="35"/>
      <c r="F72" s="35"/>
      <c r="G72" s="35"/>
      <c r="H72" s="14">
        <v>9800</v>
      </c>
    </row>
    <row r="75" spans="1:8" ht="24" customHeight="1" x14ac:dyDescent="0.2">
      <c r="A75" s="32" t="s">
        <v>106</v>
      </c>
      <c r="B75" s="33"/>
      <c r="C75" s="33"/>
      <c r="D75" s="33"/>
      <c r="E75" s="33"/>
      <c r="F75" s="33"/>
      <c r="G75" s="33"/>
      <c r="H75" s="33"/>
    </row>
    <row r="76" spans="1:8" ht="22" customHeight="1" x14ac:dyDescent="0.2">
      <c r="A76" s="1" t="s">
        <v>38</v>
      </c>
      <c r="B76" s="1" t="s">
        <v>39</v>
      </c>
      <c r="C76" s="1" t="s">
        <v>40</v>
      </c>
      <c r="D76" s="1" t="s">
        <v>5</v>
      </c>
      <c r="E76" s="1" t="s">
        <v>41</v>
      </c>
      <c r="F76" s="1" t="s">
        <v>42</v>
      </c>
      <c r="G76" s="1" t="s">
        <v>43</v>
      </c>
      <c r="H76" s="1" t="s">
        <v>44</v>
      </c>
    </row>
    <row r="77" spans="1:8" ht="20" customHeight="1" x14ac:dyDescent="0.2">
      <c r="A77" s="4" t="s">
        <v>45</v>
      </c>
      <c r="B77" s="3" t="s">
        <v>107</v>
      </c>
      <c r="C77" s="10" t="s">
        <v>47</v>
      </c>
      <c r="D77" s="4">
        <v>15</v>
      </c>
      <c r="E77" s="4" t="s">
        <v>48</v>
      </c>
      <c r="F77" s="11">
        <v>1.05</v>
      </c>
      <c r="G77" s="5">
        <v>280</v>
      </c>
      <c r="H77" s="12">
        <f>F77*G77</f>
        <v>294</v>
      </c>
    </row>
    <row r="78" spans="1:8" ht="20" customHeight="1" x14ac:dyDescent="0.2">
      <c r="A78" s="4" t="s">
        <v>49</v>
      </c>
      <c r="B78" s="3" t="s">
        <v>108</v>
      </c>
      <c r="C78" s="10" t="s">
        <v>109</v>
      </c>
      <c r="D78" s="4">
        <v>120</v>
      </c>
      <c r="E78" s="4" t="s">
        <v>55</v>
      </c>
      <c r="F78" s="11">
        <v>2.5000000000000001E-2</v>
      </c>
      <c r="G78" s="5">
        <v>12500</v>
      </c>
      <c r="H78" s="12">
        <f>F78*G78</f>
        <v>312.5</v>
      </c>
    </row>
    <row r="79" spans="1:8" ht="20" customHeight="1" x14ac:dyDescent="0.2">
      <c r="A79" s="4" t="s">
        <v>52</v>
      </c>
      <c r="B79" s="3" t="s">
        <v>110</v>
      </c>
      <c r="C79" s="10" t="s">
        <v>111</v>
      </c>
      <c r="D79" s="4">
        <v>120</v>
      </c>
      <c r="E79" s="4" t="s">
        <v>48</v>
      </c>
      <c r="F79" s="11">
        <v>1.02</v>
      </c>
      <c r="G79" s="5">
        <v>240</v>
      </c>
      <c r="H79" s="12">
        <f>F79*G79</f>
        <v>244.8</v>
      </c>
    </row>
    <row r="80" spans="1:8" ht="20" customHeight="1" x14ac:dyDescent="0.2">
      <c r="A80" s="4" t="s">
        <v>56</v>
      </c>
      <c r="B80" s="3" t="s">
        <v>112</v>
      </c>
      <c r="C80" s="10" t="s">
        <v>47</v>
      </c>
      <c r="D80" s="4">
        <v>15</v>
      </c>
      <c r="E80" s="4" t="s">
        <v>48</v>
      </c>
      <c r="F80" s="11">
        <v>1.05</v>
      </c>
      <c r="G80" s="5">
        <v>280</v>
      </c>
      <c r="H80" s="12">
        <f>F80*G80</f>
        <v>294</v>
      </c>
    </row>
    <row r="81" spans="1:8" ht="22" customHeight="1" x14ac:dyDescent="0.2">
      <c r="A81" s="31" t="s">
        <v>113</v>
      </c>
      <c r="B81" s="30"/>
      <c r="C81" s="30"/>
      <c r="D81" s="30"/>
      <c r="E81" s="30"/>
      <c r="F81" s="30"/>
      <c r="G81" s="30"/>
      <c r="H81" s="6">
        <f>SUM(H77:H80)</f>
        <v>1145.3</v>
      </c>
    </row>
    <row r="82" spans="1:8" ht="20" customHeight="1" x14ac:dyDescent="0.2">
      <c r="A82" s="29" t="s">
        <v>69</v>
      </c>
      <c r="B82" s="30"/>
      <c r="C82" s="30"/>
      <c r="D82" s="30"/>
      <c r="E82" s="30"/>
      <c r="F82" s="30"/>
      <c r="G82" s="30"/>
      <c r="H82" s="5">
        <f>H81*0.05</f>
        <v>57.265000000000001</v>
      </c>
    </row>
    <row r="83" spans="1:8" ht="20" customHeight="1" x14ac:dyDescent="0.2">
      <c r="A83" s="29" t="s">
        <v>70</v>
      </c>
      <c r="B83" s="30"/>
      <c r="C83" s="30"/>
      <c r="D83" s="30"/>
      <c r="E83" s="30"/>
      <c r="F83" s="30"/>
      <c r="G83" s="30"/>
      <c r="H83" s="5">
        <f>H81*0.03</f>
        <v>34.358999999999995</v>
      </c>
    </row>
    <row r="84" spans="1:8" ht="20" customHeight="1" x14ac:dyDescent="0.2">
      <c r="A84" s="29" t="s">
        <v>71</v>
      </c>
      <c r="B84" s="30"/>
      <c r="C84" s="30"/>
      <c r="D84" s="30"/>
      <c r="E84" s="30"/>
      <c r="F84" s="30"/>
      <c r="G84" s="30"/>
      <c r="H84" s="5">
        <f>H81*0.15</f>
        <v>171.79499999999999</v>
      </c>
    </row>
    <row r="85" spans="1:8" ht="24" customHeight="1" x14ac:dyDescent="0.2">
      <c r="A85" s="31" t="s">
        <v>114</v>
      </c>
      <c r="B85" s="30"/>
      <c r="C85" s="30"/>
      <c r="D85" s="30"/>
      <c r="E85" s="30"/>
      <c r="F85" s="30"/>
      <c r="G85" s="30"/>
      <c r="H85" s="6">
        <f>SUM(H81:H84)</f>
        <v>1408.7190000000001</v>
      </c>
    </row>
    <row r="86" spans="1:8" ht="24" customHeight="1" x14ac:dyDescent="0.2">
      <c r="A86" s="31" t="s">
        <v>115</v>
      </c>
      <c r="B86" s="30"/>
      <c r="C86" s="30"/>
      <c r="D86" s="30"/>
      <c r="E86" s="30"/>
      <c r="F86" s="30"/>
      <c r="G86" s="30"/>
      <c r="H86" s="8">
        <f>H85/(1-0.35)</f>
        <v>2167.2600000000002</v>
      </c>
    </row>
    <row r="87" spans="1:8" ht="24" customHeight="1" x14ac:dyDescent="0.2">
      <c r="A87" s="34" t="s">
        <v>116</v>
      </c>
      <c r="B87" s="35"/>
      <c r="C87" s="35"/>
      <c r="D87" s="35"/>
      <c r="E87" s="35"/>
      <c r="F87" s="35"/>
      <c r="G87" s="35"/>
      <c r="H87" s="14">
        <v>3800</v>
      </c>
    </row>
    <row r="90" spans="1:8" ht="24" customHeight="1" x14ac:dyDescent="0.2">
      <c r="A90" s="32" t="s">
        <v>117</v>
      </c>
      <c r="B90" s="33"/>
      <c r="C90" s="33"/>
      <c r="D90" s="33"/>
      <c r="E90" s="33"/>
      <c r="F90" s="33"/>
      <c r="G90" s="33"/>
      <c r="H90" s="33"/>
    </row>
    <row r="91" spans="1:8" ht="22" customHeight="1" x14ac:dyDescent="0.2">
      <c r="A91" s="1" t="s">
        <v>38</v>
      </c>
      <c r="B91" s="1" t="s">
        <v>39</v>
      </c>
      <c r="C91" s="1" t="s">
        <v>40</v>
      </c>
      <c r="D91" s="1" t="s">
        <v>5</v>
      </c>
      <c r="E91" s="1" t="s">
        <v>41</v>
      </c>
      <c r="F91" s="1" t="s">
        <v>42</v>
      </c>
      <c r="G91" s="1" t="s">
        <v>43</v>
      </c>
      <c r="H91" s="1" t="s">
        <v>44</v>
      </c>
    </row>
    <row r="92" spans="1:8" ht="20" customHeight="1" x14ac:dyDescent="0.2">
      <c r="A92" s="4" t="s">
        <v>45</v>
      </c>
      <c r="B92" s="3" t="s">
        <v>118</v>
      </c>
      <c r="C92" s="10" t="s">
        <v>47</v>
      </c>
      <c r="D92" s="4">
        <v>15</v>
      </c>
      <c r="E92" s="4" t="s">
        <v>48</v>
      </c>
      <c r="F92" s="11">
        <v>1.05</v>
      </c>
      <c r="G92" s="5">
        <v>280</v>
      </c>
      <c r="H92" s="12">
        <f t="shared" ref="H92:H98" si="8">F92*G92</f>
        <v>294</v>
      </c>
    </row>
    <row r="93" spans="1:8" ht="20" customHeight="1" x14ac:dyDescent="0.2">
      <c r="A93" s="4" t="s">
        <v>49</v>
      </c>
      <c r="B93" s="3" t="s">
        <v>119</v>
      </c>
      <c r="C93" s="10" t="s">
        <v>120</v>
      </c>
      <c r="D93" s="4">
        <v>100</v>
      </c>
      <c r="E93" s="4" t="s">
        <v>55</v>
      </c>
      <c r="F93" s="11">
        <v>0.02</v>
      </c>
      <c r="G93" s="5">
        <v>12500</v>
      </c>
      <c r="H93" s="12">
        <f t="shared" si="8"/>
        <v>250</v>
      </c>
    </row>
    <row r="94" spans="1:8" ht="20" customHeight="1" x14ac:dyDescent="0.2">
      <c r="A94" s="4" t="s">
        <v>52</v>
      </c>
      <c r="B94" s="3" t="s">
        <v>121</v>
      </c>
      <c r="C94" s="10" t="s">
        <v>122</v>
      </c>
      <c r="D94" s="4">
        <v>100</v>
      </c>
      <c r="E94" s="4" t="s">
        <v>48</v>
      </c>
      <c r="F94" s="11">
        <v>1.02</v>
      </c>
      <c r="G94" s="5">
        <v>210</v>
      </c>
      <c r="H94" s="12">
        <f t="shared" si="8"/>
        <v>214.20000000000002</v>
      </c>
    </row>
    <row r="95" spans="1:8" ht="20" customHeight="1" x14ac:dyDescent="0.2">
      <c r="A95" s="4" t="s">
        <v>56</v>
      </c>
      <c r="B95" s="3" t="s">
        <v>123</v>
      </c>
      <c r="C95" s="10" t="s">
        <v>124</v>
      </c>
      <c r="D95" s="4">
        <v>20</v>
      </c>
      <c r="E95" s="4" t="s">
        <v>48</v>
      </c>
      <c r="F95" s="11">
        <v>1</v>
      </c>
      <c r="G95" s="5">
        <v>35</v>
      </c>
      <c r="H95" s="12">
        <f t="shared" si="8"/>
        <v>35</v>
      </c>
    </row>
    <row r="96" spans="1:8" ht="20" customHeight="1" x14ac:dyDescent="0.2">
      <c r="A96" s="4" t="s">
        <v>59</v>
      </c>
      <c r="B96" s="3" t="s">
        <v>125</v>
      </c>
      <c r="C96" s="10" t="s">
        <v>120</v>
      </c>
      <c r="D96" s="4">
        <v>100</v>
      </c>
      <c r="E96" s="4" t="s">
        <v>55</v>
      </c>
      <c r="F96" s="11">
        <v>0.02</v>
      </c>
      <c r="G96" s="5">
        <v>12500</v>
      </c>
      <c r="H96" s="12">
        <f t="shared" si="8"/>
        <v>250</v>
      </c>
    </row>
    <row r="97" spans="1:8" ht="20" customHeight="1" x14ac:dyDescent="0.2">
      <c r="A97" s="4" t="s">
        <v>62</v>
      </c>
      <c r="B97" s="3" t="s">
        <v>126</v>
      </c>
      <c r="C97" s="10" t="s">
        <v>122</v>
      </c>
      <c r="D97" s="4">
        <v>100</v>
      </c>
      <c r="E97" s="4" t="s">
        <v>48</v>
      </c>
      <c r="F97" s="11">
        <v>1.02</v>
      </c>
      <c r="G97" s="5">
        <v>210</v>
      </c>
      <c r="H97" s="12">
        <f t="shared" si="8"/>
        <v>214.20000000000002</v>
      </c>
    </row>
    <row r="98" spans="1:8" ht="20" customHeight="1" x14ac:dyDescent="0.2">
      <c r="A98" s="4" t="s">
        <v>65</v>
      </c>
      <c r="B98" s="3" t="s">
        <v>127</v>
      </c>
      <c r="C98" s="10" t="s">
        <v>47</v>
      </c>
      <c r="D98" s="4">
        <v>15</v>
      </c>
      <c r="E98" s="4" t="s">
        <v>48</v>
      </c>
      <c r="F98" s="11">
        <v>1.05</v>
      </c>
      <c r="G98" s="5">
        <v>280</v>
      </c>
      <c r="H98" s="12">
        <f t="shared" si="8"/>
        <v>294</v>
      </c>
    </row>
    <row r="99" spans="1:8" ht="22" customHeight="1" x14ac:dyDescent="0.2">
      <c r="A99" s="31" t="s">
        <v>128</v>
      </c>
      <c r="B99" s="30"/>
      <c r="C99" s="30"/>
      <c r="D99" s="30"/>
      <c r="E99" s="30"/>
      <c r="F99" s="30"/>
      <c r="G99" s="30"/>
      <c r="H99" s="6">
        <f>SUM(H92:H98)</f>
        <v>1551.4</v>
      </c>
    </row>
    <row r="100" spans="1:8" ht="20" customHeight="1" x14ac:dyDescent="0.2">
      <c r="A100" s="29" t="s">
        <v>69</v>
      </c>
      <c r="B100" s="30"/>
      <c r="C100" s="30"/>
      <c r="D100" s="30"/>
      <c r="E100" s="30"/>
      <c r="F100" s="30"/>
      <c r="G100" s="30"/>
      <c r="H100" s="5">
        <f>H99*0.05</f>
        <v>77.570000000000007</v>
      </c>
    </row>
    <row r="101" spans="1:8" ht="20" customHeight="1" x14ac:dyDescent="0.2">
      <c r="A101" s="29" t="s">
        <v>70</v>
      </c>
      <c r="B101" s="30"/>
      <c r="C101" s="30"/>
      <c r="D101" s="30"/>
      <c r="E101" s="30"/>
      <c r="F101" s="30"/>
      <c r="G101" s="30"/>
      <c r="H101" s="5">
        <f>H99*0.03</f>
        <v>46.542000000000002</v>
      </c>
    </row>
    <row r="102" spans="1:8" ht="20" customHeight="1" x14ac:dyDescent="0.2">
      <c r="A102" s="29" t="s">
        <v>71</v>
      </c>
      <c r="B102" s="30"/>
      <c r="C102" s="30"/>
      <c r="D102" s="30"/>
      <c r="E102" s="30"/>
      <c r="F102" s="30"/>
      <c r="G102" s="30"/>
      <c r="H102" s="5">
        <f>H99*0.15</f>
        <v>232.71</v>
      </c>
    </row>
    <row r="103" spans="1:8" ht="24" customHeight="1" x14ac:dyDescent="0.2">
      <c r="A103" s="31" t="s">
        <v>129</v>
      </c>
      <c r="B103" s="30"/>
      <c r="C103" s="30"/>
      <c r="D103" s="30"/>
      <c r="E103" s="30"/>
      <c r="F103" s="30"/>
      <c r="G103" s="30"/>
      <c r="H103" s="6">
        <f>SUM(H99:H102)</f>
        <v>1908.222</v>
      </c>
    </row>
    <row r="104" spans="1:8" ht="24" customHeight="1" x14ac:dyDescent="0.2">
      <c r="A104" s="31" t="s">
        <v>130</v>
      </c>
      <c r="B104" s="30"/>
      <c r="C104" s="30"/>
      <c r="D104" s="30"/>
      <c r="E104" s="30"/>
      <c r="F104" s="30"/>
      <c r="G104" s="30"/>
      <c r="H104" s="8">
        <f>H103/(1-0.35)</f>
        <v>2935.7261538461539</v>
      </c>
    </row>
    <row r="105" spans="1:8" ht="24" customHeight="1" x14ac:dyDescent="0.2">
      <c r="A105" s="34" t="s">
        <v>131</v>
      </c>
      <c r="B105" s="35"/>
      <c r="C105" s="35"/>
      <c r="D105" s="35"/>
      <c r="E105" s="35"/>
      <c r="F105" s="35"/>
      <c r="G105" s="35"/>
      <c r="H105" s="14">
        <v>5950</v>
      </c>
    </row>
    <row r="108" spans="1:8" ht="24" customHeight="1" x14ac:dyDescent="0.2">
      <c r="A108" s="32" t="s">
        <v>132</v>
      </c>
      <c r="B108" s="33"/>
      <c r="C108" s="33"/>
      <c r="D108" s="33"/>
      <c r="E108" s="33"/>
      <c r="F108" s="33"/>
      <c r="G108" s="33"/>
      <c r="H108" s="33"/>
    </row>
    <row r="109" spans="1:8" ht="22" customHeight="1" x14ac:dyDescent="0.2">
      <c r="A109" s="1" t="s">
        <v>38</v>
      </c>
      <c r="B109" s="1" t="s">
        <v>39</v>
      </c>
      <c r="C109" s="1" t="s">
        <v>40</v>
      </c>
      <c r="D109" s="1" t="s">
        <v>5</v>
      </c>
      <c r="E109" s="1" t="s">
        <v>41</v>
      </c>
      <c r="F109" s="1" t="s">
        <v>42</v>
      </c>
      <c r="G109" s="1" t="s">
        <v>43</v>
      </c>
      <c r="H109" s="1" t="s">
        <v>44</v>
      </c>
    </row>
    <row r="110" spans="1:8" ht="20" customHeight="1" x14ac:dyDescent="0.2">
      <c r="A110" s="4" t="s">
        <v>45</v>
      </c>
      <c r="B110" s="3" t="s">
        <v>107</v>
      </c>
      <c r="C110" s="10" t="s">
        <v>133</v>
      </c>
      <c r="D110" s="4">
        <v>12.5</v>
      </c>
      <c r="E110" s="4" t="s">
        <v>48</v>
      </c>
      <c r="F110" s="11">
        <v>1.05</v>
      </c>
      <c r="G110" s="5">
        <v>240</v>
      </c>
      <c r="H110" s="12">
        <f>F110*G110</f>
        <v>252</v>
      </c>
    </row>
    <row r="111" spans="1:8" ht="20" customHeight="1" x14ac:dyDescent="0.2">
      <c r="A111" s="4" t="s">
        <v>49</v>
      </c>
      <c r="B111" s="3" t="s">
        <v>134</v>
      </c>
      <c r="C111" s="10" t="s">
        <v>135</v>
      </c>
      <c r="D111" s="4">
        <v>75</v>
      </c>
      <c r="E111" s="4" t="s">
        <v>55</v>
      </c>
      <c r="F111" s="11">
        <v>1.4999999999999999E-2</v>
      </c>
      <c r="G111" s="5">
        <v>12500</v>
      </c>
      <c r="H111" s="12">
        <f>F111*G111</f>
        <v>187.5</v>
      </c>
    </row>
    <row r="112" spans="1:8" ht="20" customHeight="1" x14ac:dyDescent="0.2">
      <c r="A112" s="4" t="s">
        <v>52</v>
      </c>
      <c r="B112" s="3" t="s">
        <v>110</v>
      </c>
      <c r="C112" s="10" t="s">
        <v>136</v>
      </c>
      <c r="D112" s="4">
        <v>75</v>
      </c>
      <c r="E112" s="4" t="s">
        <v>48</v>
      </c>
      <c r="F112" s="11">
        <v>1.02</v>
      </c>
      <c r="G112" s="5">
        <v>160</v>
      </c>
      <c r="H112" s="12">
        <f>F112*G112</f>
        <v>163.19999999999999</v>
      </c>
    </row>
    <row r="113" spans="1:8" ht="20" customHeight="1" x14ac:dyDescent="0.2">
      <c r="A113" s="4" t="s">
        <v>56</v>
      </c>
      <c r="B113" s="3" t="s">
        <v>112</v>
      </c>
      <c r="C113" s="10" t="s">
        <v>133</v>
      </c>
      <c r="D113" s="4">
        <v>12.5</v>
      </c>
      <c r="E113" s="4" t="s">
        <v>48</v>
      </c>
      <c r="F113" s="11">
        <v>1.05</v>
      </c>
      <c r="G113" s="5">
        <v>240</v>
      </c>
      <c r="H113" s="12">
        <f>F113*G113</f>
        <v>252</v>
      </c>
    </row>
    <row r="114" spans="1:8" ht="22" customHeight="1" x14ac:dyDescent="0.2">
      <c r="A114" s="31" t="s">
        <v>137</v>
      </c>
      <c r="B114" s="30"/>
      <c r="C114" s="30"/>
      <c r="D114" s="30"/>
      <c r="E114" s="30"/>
      <c r="F114" s="30"/>
      <c r="G114" s="30"/>
      <c r="H114" s="6">
        <f>SUM(H110:H113)</f>
        <v>854.7</v>
      </c>
    </row>
    <row r="115" spans="1:8" ht="20" customHeight="1" x14ac:dyDescent="0.2">
      <c r="A115" s="29" t="s">
        <v>69</v>
      </c>
      <c r="B115" s="30"/>
      <c r="C115" s="30"/>
      <c r="D115" s="30"/>
      <c r="E115" s="30"/>
      <c r="F115" s="30"/>
      <c r="G115" s="30"/>
      <c r="H115" s="5">
        <f>H114*0.05</f>
        <v>42.735000000000007</v>
      </c>
    </row>
    <row r="116" spans="1:8" ht="20" customHeight="1" x14ac:dyDescent="0.2">
      <c r="A116" s="29" t="s">
        <v>70</v>
      </c>
      <c r="B116" s="30"/>
      <c r="C116" s="30"/>
      <c r="D116" s="30"/>
      <c r="E116" s="30"/>
      <c r="F116" s="30"/>
      <c r="G116" s="30"/>
      <c r="H116" s="5">
        <f>H114*0.03</f>
        <v>25.641000000000002</v>
      </c>
    </row>
    <row r="117" spans="1:8" ht="20" customHeight="1" x14ac:dyDescent="0.2">
      <c r="A117" s="29" t="s">
        <v>71</v>
      </c>
      <c r="B117" s="30"/>
      <c r="C117" s="30"/>
      <c r="D117" s="30"/>
      <c r="E117" s="30"/>
      <c r="F117" s="30"/>
      <c r="G117" s="30"/>
      <c r="H117" s="5">
        <f>H114*0.15</f>
        <v>128.20500000000001</v>
      </c>
    </row>
    <row r="118" spans="1:8" ht="24" customHeight="1" x14ac:dyDescent="0.2">
      <c r="A118" s="31" t="s">
        <v>138</v>
      </c>
      <c r="B118" s="30"/>
      <c r="C118" s="30"/>
      <c r="D118" s="30"/>
      <c r="E118" s="30"/>
      <c r="F118" s="30"/>
      <c r="G118" s="30"/>
      <c r="H118" s="6">
        <f>SUM(H114:H117)</f>
        <v>1051.2809999999999</v>
      </c>
    </row>
    <row r="119" spans="1:8" ht="24" customHeight="1" x14ac:dyDescent="0.2">
      <c r="A119" s="31" t="s">
        <v>139</v>
      </c>
      <c r="B119" s="30"/>
      <c r="C119" s="30"/>
      <c r="D119" s="30"/>
      <c r="E119" s="30"/>
      <c r="F119" s="30"/>
      <c r="G119" s="30"/>
      <c r="H119" s="8">
        <f>H118/(1-0.35)</f>
        <v>1617.3553846153845</v>
      </c>
    </row>
    <row r="120" spans="1:8" ht="24" customHeight="1" x14ac:dyDescent="0.2">
      <c r="A120" s="34" t="s">
        <v>140</v>
      </c>
      <c r="B120" s="35"/>
      <c r="C120" s="35"/>
      <c r="D120" s="35"/>
      <c r="E120" s="35"/>
      <c r="F120" s="35"/>
      <c r="G120" s="35"/>
      <c r="H120" s="14">
        <v>3050</v>
      </c>
    </row>
    <row r="123" spans="1:8" ht="24" customHeight="1" x14ac:dyDescent="0.2">
      <c r="A123" s="32" t="s">
        <v>141</v>
      </c>
      <c r="B123" s="33"/>
      <c r="C123" s="33"/>
      <c r="D123" s="33"/>
      <c r="E123" s="33"/>
      <c r="F123" s="33"/>
      <c r="G123" s="33"/>
      <c r="H123" s="33"/>
    </row>
    <row r="124" spans="1:8" ht="22" customHeight="1" x14ac:dyDescent="0.2">
      <c r="A124" s="1" t="s">
        <v>38</v>
      </c>
      <c r="B124" s="1" t="s">
        <v>39</v>
      </c>
      <c r="C124" s="1" t="s">
        <v>40</v>
      </c>
      <c r="D124" s="1" t="s">
        <v>5</v>
      </c>
      <c r="E124" s="1" t="s">
        <v>41</v>
      </c>
      <c r="F124" s="1" t="s">
        <v>42</v>
      </c>
      <c r="G124" s="1" t="s">
        <v>43</v>
      </c>
      <c r="H124" s="1" t="s">
        <v>44</v>
      </c>
    </row>
    <row r="125" spans="1:8" ht="20" customHeight="1" x14ac:dyDescent="0.2">
      <c r="A125" s="4" t="s">
        <v>45</v>
      </c>
      <c r="B125" s="3" t="s">
        <v>142</v>
      </c>
      <c r="C125" s="10" t="s">
        <v>47</v>
      </c>
      <c r="D125" s="4">
        <v>15</v>
      </c>
      <c r="E125" s="4" t="s">
        <v>48</v>
      </c>
      <c r="F125" s="11">
        <v>1.05</v>
      </c>
      <c r="G125" s="5">
        <v>280</v>
      </c>
      <c r="H125" s="12">
        <f t="shared" ref="H125:H130" si="9">F125*G125</f>
        <v>294</v>
      </c>
    </row>
    <row r="126" spans="1:8" ht="20" customHeight="1" x14ac:dyDescent="0.2">
      <c r="A126" s="4" t="s">
        <v>49</v>
      </c>
      <c r="B126" s="3" t="s">
        <v>143</v>
      </c>
      <c r="C126" s="10" t="s">
        <v>144</v>
      </c>
      <c r="D126" s="4">
        <v>40</v>
      </c>
      <c r="E126" s="4" t="s">
        <v>48</v>
      </c>
      <c r="F126" s="11">
        <v>1</v>
      </c>
      <c r="G126" s="5">
        <v>180</v>
      </c>
      <c r="H126" s="12">
        <f t="shared" si="9"/>
        <v>180</v>
      </c>
    </row>
    <row r="127" spans="1:8" ht="20" customHeight="1" x14ac:dyDescent="0.2">
      <c r="A127" s="4" t="s">
        <v>52</v>
      </c>
      <c r="B127" s="3" t="s">
        <v>145</v>
      </c>
      <c r="C127" s="10" t="s">
        <v>146</v>
      </c>
      <c r="D127" s="4">
        <v>240</v>
      </c>
      <c r="E127" s="4" t="s">
        <v>55</v>
      </c>
      <c r="F127" s="11">
        <v>3.7999999999999999E-2</v>
      </c>
      <c r="G127" s="5">
        <v>14500</v>
      </c>
      <c r="H127" s="12">
        <f t="shared" si="9"/>
        <v>551</v>
      </c>
    </row>
    <row r="128" spans="1:8" ht="20" customHeight="1" x14ac:dyDescent="0.2">
      <c r="A128" s="4" t="s">
        <v>56</v>
      </c>
      <c r="B128" s="3" t="s">
        <v>110</v>
      </c>
      <c r="C128" s="10" t="s">
        <v>147</v>
      </c>
      <c r="D128" s="4">
        <v>140</v>
      </c>
      <c r="E128" s="4" t="s">
        <v>48</v>
      </c>
      <c r="F128" s="11">
        <v>1.02</v>
      </c>
      <c r="G128" s="5">
        <v>260</v>
      </c>
      <c r="H128" s="12">
        <f t="shared" si="9"/>
        <v>265.2</v>
      </c>
    </row>
    <row r="129" spans="1:8" ht="20" customHeight="1" x14ac:dyDescent="0.2">
      <c r="A129" s="4" t="s">
        <v>59</v>
      </c>
      <c r="B129" s="3" t="s">
        <v>148</v>
      </c>
      <c r="C129" s="10" t="s">
        <v>149</v>
      </c>
      <c r="D129" s="4">
        <v>60</v>
      </c>
      <c r="E129" s="4" t="s">
        <v>48</v>
      </c>
      <c r="F129" s="11">
        <v>1.02</v>
      </c>
      <c r="G129" s="5">
        <v>290</v>
      </c>
      <c r="H129" s="12">
        <f t="shared" si="9"/>
        <v>295.8</v>
      </c>
    </row>
    <row r="130" spans="1:8" ht="20" customHeight="1" x14ac:dyDescent="0.2">
      <c r="A130" s="4" t="s">
        <v>62</v>
      </c>
      <c r="B130" s="3" t="s">
        <v>150</v>
      </c>
      <c r="C130" s="10" t="s">
        <v>151</v>
      </c>
      <c r="D130" s="4">
        <v>22</v>
      </c>
      <c r="E130" s="4" t="s">
        <v>48</v>
      </c>
      <c r="F130" s="11">
        <v>1.05</v>
      </c>
      <c r="G130" s="5">
        <v>340</v>
      </c>
      <c r="H130" s="12">
        <f t="shared" si="9"/>
        <v>357</v>
      </c>
    </row>
    <row r="131" spans="1:8" ht="22" customHeight="1" x14ac:dyDescent="0.2">
      <c r="A131" s="31" t="s">
        <v>152</v>
      </c>
      <c r="B131" s="30"/>
      <c r="C131" s="30"/>
      <c r="D131" s="30"/>
      <c r="E131" s="30"/>
      <c r="F131" s="30"/>
      <c r="G131" s="30"/>
      <c r="H131" s="6">
        <f>SUM(H125:H130)</f>
        <v>1943</v>
      </c>
    </row>
    <row r="132" spans="1:8" ht="20" customHeight="1" x14ac:dyDescent="0.2">
      <c r="A132" s="29" t="s">
        <v>69</v>
      </c>
      <c r="B132" s="30"/>
      <c r="C132" s="30"/>
      <c r="D132" s="30"/>
      <c r="E132" s="30"/>
      <c r="F132" s="30"/>
      <c r="G132" s="30"/>
      <c r="H132" s="5">
        <f>H131*0.05</f>
        <v>97.15</v>
      </c>
    </row>
    <row r="133" spans="1:8" ht="20" customHeight="1" x14ac:dyDescent="0.2">
      <c r="A133" s="29" t="s">
        <v>70</v>
      </c>
      <c r="B133" s="30"/>
      <c r="C133" s="30"/>
      <c r="D133" s="30"/>
      <c r="E133" s="30"/>
      <c r="F133" s="30"/>
      <c r="G133" s="30"/>
      <c r="H133" s="5">
        <f>H131*0.03</f>
        <v>58.29</v>
      </c>
    </row>
    <row r="134" spans="1:8" ht="20" customHeight="1" x14ac:dyDescent="0.2">
      <c r="A134" s="29" t="s">
        <v>71</v>
      </c>
      <c r="B134" s="30"/>
      <c r="C134" s="30"/>
      <c r="D134" s="30"/>
      <c r="E134" s="30"/>
      <c r="F134" s="30"/>
      <c r="G134" s="30"/>
      <c r="H134" s="5">
        <f>H131*0.15</f>
        <v>291.45</v>
      </c>
    </row>
    <row r="135" spans="1:8" ht="24" customHeight="1" x14ac:dyDescent="0.2">
      <c r="A135" s="31" t="s">
        <v>153</v>
      </c>
      <c r="B135" s="30"/>
      <c r="C135" s="30"/>
      <c r="D135" s="30"/>
      <c r="E135" s="30"/>
      <c r="F135" s="30"/>
      <c r="G135" s="30"/>
      <c r="H135" s="6">
        <f>SUM(H131:H134)</f>
        <v>2389.89</v>
      </c>
    </row>
    <row r="136" spans="1:8" ht="24" customHeight="1" x14ac:dyDescent="0.2">
      <c r="A136" s="31" t="s">
        <v>154</v>
      </c>
      <c r="B136" s="30"/>
      <c r="C136" s="30"/>
      <c r="D136" s="30"/>
      <c r="E136" s="30"/>
      <c r="F136" s="30"/>
      <c r="G136" s="30"/>
      <c r="H136" s="8">
        <f>H135/(1-0.35)</f>
        <v>3676.7538461538456</v>
      </c>
    </row>
    <row r="137" spans="1:8" ht="24" customHeight="1" x14ac:dyDescent="0.2">
      <c r="A137" s="34" t="s">
        <v>155</v>
      </c>
      <c r="B137" s="35"/>
      <c r="C137" s="35"/>
      <c r="D137" s="35"/>
      <c r="E137" s="35"/>
      <c r="F137" s="35"/>
      <c r="G137" s="35"/>
      <c r="H137" s="14">
        <v>6500</v>
      </c>
    </row>
    <row r="140" spans="1:8" ht="24" customHeight="1" x14ac:dyDescent="0.2">
      <c r="A140" s="32" t="s">
        <v>156</v>
      </c>
      <c r="B140" s="33"/>
      <c r="C140" s="33"/>
      <c r="D140" s="33"/>
      <c r="E140" s="33"/>
      <c r="F140" s="33"/>
      <c r="G140" s="33"/>
      <c r="H140" s="33"/>
    </row>
    <row r="141" spans="1:8" ht="22" customHeight="1" x14ac:dyDescent="0.2">
      <c r="A141" s="1" t="s">
        <v>38</v>
      </c>
      <c r="B141" s="1" t="s">
        <v>39</v>
      </c>
      <c r="C141" s="1" t="s">
        <v>40</v>
      </c>
      <c r="D141" s="1" t="s">
        <v>5</v>
      </c>
      <c r="E141" s="1" t="s">
        <v>41</v>
      </c>
      <c r="F141" s="1" t="s">
        <v>42</v>
      </c>
      <c r="G141" s="1" t="s">
        <v>43</v>
      </c>
      <c r="H141" s="1" t="s">
        <v>44</v>
      </c>
    </row>
    <row r="142" spans="1:8" ht="20" customHeight="1" x14ac:dyDescent="0.2">
      <c r="A142" s="4" t="s">
        <v>45</v>
      </c>
      <c r="B142" s="3" t="s">
        <v>142</v>
      </c>
      <c r="C142" s="10" t="s">
        <v>157</v>
      </c>
      <c r="D142" s="4">
        <v>25</v>
      </c>
      <c r="E142" s="4" t="s">
        <v>48</v>
      </c>
      <c r="F142" s="11">
        <v>1.05</v>
      </c>
      <c r="G142" s="5">
        <v>480</v>
      </c>
      <c r="H142" s="12">
        <f t="shared" ref="H142:H148" si="10">F142*G142</f>
        <v>504</v>
      </c>
    </row>
    <row r="143" spans="1:8" ht="20" customHeight="1" x14ac:dyDescent="0.2">
      <c r="A143" s="4" t="s">
        <v>49</v>
      </c>
      <c r="B143" s="3" t="s">
        <v>158</v>
      </c>
      <c r="C143" s="10" t="s">
        <v>159</v>
      </c>
      <c r="D143" s="4">
        <v>40</v>
      </c>
      <c r="E143" s="4" t="s">
        <v>48</v>
      </c>
      <c r="F143" s="11">
        <v>1</v>
      </c>
      <c r="G143" s="5">
        <v>390</v>
      </c>
      <c r="H143" s="12">
        <f t="shared" si="10"/>
        <v>390</v>
      </c>
    </row>
    <row r="144" spans="1:8" ht="20" customHeight="1" x14ac:dyDescent="0.2">
      <c r="A144" s="4" t="s">
        <v>52</v>
      </c>
      <c r="B144" s="3" t="s">
        <v>160</v>
      </c>
      <c r="C144" s="10" t="s">
        <v>161</v>
      </c>
      <c r="D144" s="4">
        <v>60</v>
      </c>
      <c r="E144" s="4" t="s">
        <v>48</v>
      </c>
      <c r="F144" s="11">
        <v>1</v>
      </c>
      <c r="G144" s="5">
        <v>780</v>
      </c>
      <c r="H144" s="12">
        <f t="shared" si="10"/>
        <v>780</v>
      </c>
    </row>
    <row r="145" spans="1:8" ht="20" customHeight="1" x14ac:dyDescent="0.2">
      <c r="A145" s="4" t="s">
        <v>56</v>
      </c>
      <c r="B145" s="3" t="s">
        <v>162</v>
      </c>
      <c r="C145" s="10" t="s">
        <v>163</v>
      </c>
      <c r="D145" s="4">
        <v>240</v>
      </c>
      <c r="E145" s="4" t="s">
        <v>55</v>
      </c>
      <c r="F145" s="11">
        <v>0.04</v>
      </c>
      <c r="G145" s="5">
        <v>14500</v>
      </c>
      <c r="H145" s="12">
        <f t="shared" si="10"/>
        <v>580</v>
      </c>
    </row>
    <row r="146" spans="1:8" ht="20" customHeight="1" x14ac:dyDescent="0.2">
      <c r="A146" s="4" t="s">
        <v>59</v>
      </c>
      <c r="B146" s="3" t="s">
        <v>164</v>
      </c>
      <c r="C146" s="10" t="s">
        <v>165</v>
      </c>
      <c r="D146" s="4">
        <v>140</v>
      </c>
      <c r="E146" s="4" t="s">
        <v>48</v>
      </c>
      <c r="F146" s="11">
        <v>1.02</v>
      </c>
      <c r="G146" s="5">
        <v>260</v>
      </c>
      <c r="H146" s="12">
        <f t="shared" si="10"/>
        <v>265.2</v>
      </c>
    </row>
    <row r="147" spans="1:8" ht="20" customHeight="1" x14ac:dyDescent="0.2">
      <c r="A147" s="4" t="s">
        <v>62</v>
      </c>
      <c r="B147" s="3" t="s">
        <v>148</v>
      </c>
      <c r="C147" s="10" t="s">
        <v>166</v>
      </c>
      <c r="D147" s="4">
        <v>60</v>
      </c>
      <c r="E147" s="4" t="s">
        <v>48</v>
      </c>
      <c r="F147" s="11">
        <v>1.02</v>
      </c>
      <c r="G147" s="5">
        <v>320</v>
      </c>
      <c r="H147" s="12">
        <f t="shared" si="10"/>
        <v>326.39999999999998</v>
      </c>
    </row>
    <row r="148" spans="1:8" ht="20" customHeight="1" x14ac:dyDescent="0.2">
      <c r="A148" s="4" t="s">
        <v>65</v>
      </c>
      <c r="B148" s="3" t="s">
        <v>167</v>
      </c>
      <c r="C148" s="10" t="s">
        <v>168</v>
      </c>
      <c r="D148" s="4">
        <v>22</v>
      </c>
      <c r="E148" s="4" t="s">
        <v>48</v>
      </c>
      <c r="F148" s="11">
        <v>1.05</v>
      </c>
      <c r="G148" s="5">
        <v>590</v>
      </c>
      <c r="H148" s="12">
        <f t="shared" si="10"/>
        <v>619.5</v>
      </c>
    </row>
    <row r="149" spans="1:8" ht="22" customHeight="1" x14ac:dyDescent="0.2">
      <c r="A149" s="31" t="s">
        <v>169</v>
      </c>
      <c r="B149" s="30"/>
      <c r="C149" s="30"/>
      <c r="D149" s="30"/>
      <c r="E149" s="30"/>
      <c r="F149" s="30"/>
      <c r="G149" s="30"/>
      <c r="H149" s="6">
        <f>SUM(H142:H148)</f>
        <v>3465.1</v>
      </c>
    </row>
    <row r="150" spans="1:8" ht="20" customHeight="1" x14ac:dyDescent="0.2">
      <c r="A150" s="29" t="s">
        <v>69</v>
      </c>
      <c r="B150" s="30"/>
      <c r="C150" s="30"/>
      <c r="D150" s="30"/>
      <c r="E150" s="30"/>
      <c r="F150" s="30"/>
      <c r="G150" s="30"/>
      <c r="H150" s="5">
        <f>H149*0.05</f>
        <v>173.255</v>
      </c>
    </row>
    <row r="151" spans="1:8" ht="20" customHeight="1" x14ac:dyDescent="0.2">
      <c r="A151" s="29" t="s">
        <v>70</v>
      </c>
      <c r="B151" s="30"/>
      <c r="C151" s="30"/>
      <c r="D151" s="30"/>
      <c r="E151" s="30"/>
      <c r="F151" s="30"/>
      <c r="G151" s="30"/>
      <c r="H151" s="5">
        <f>H149*0.03</f>
        <v>103.95299999999999</v>
      </c>
    </row>
    <row r="152" spans="1:8" ht="20" customHeight="1" x14ac:dyDescent="0.2">
      <c r="A152" s="29" t="s">
        <v>71</v>
      </c>
      <c r="B152" s="30"/>
      <c r="C152" s="30"/>
      <c r="D152" s="30"/>
      <c r="E152" s="30"/>
      <c r="F152" s="30"/>
      <c r="G152" s="30"/>
      <c r="H152" s="5">
        <f>H149*0.15</f>
        <v>519.76499999999999</v>
      </c>
    </row>
    <row r="153" spans="1:8" ht="24" customHeight="1" x14ac:dyDescent="0.2">
      <c r="A153" s="31" t="s">
        <v>170</v>
      </c>
      <c r="B153" s="30"/>
      <c r="C153" s="30"/>
      <c r="D153" s="30"/>
      <c r="E153" s="30"/>
      <c r="F153" s="30"/>
      <c r="G153" s="30"/>
      <c r="H153" s="6">
        <f>SUM(H149:H152)</f>
        <v>4262.0730000000003</v>
      </c>
    </row>
    <row r="154" spans="1:8" ht="24" customHeight="1" x14ac:dyDescent="0.2">
      <c r="A154" s="31" t="s">
        <v>171</v>
      </c>
      <c r="B154" s="30"/>
      <c r="C154" s="30"/>
      <c r="D154" s="30"/>
      <c r="E154" s="30"/>
      <c r="F154" s="30"/>
      <c r="G154" s="30"/>
      <c r="H154" s="8">
        <f>H153/(1-0.35)</f>
        <v>6557.0353846153848</v>
      </c>
    </row>
    <row r="155" spans="1:8" ht="24" customHeight="1" x14ac:dyDescent="0.2">
      <c r="A155" s="34" t="s">
        <v>172</v>
      </c>
      <c r="B155" s="35"/>
      <c r="C155" s="35"/>
      <c r="D155" s="35"/>
      <c r="E155" s="35"/>
      <c r="F155" s="35"/>
      <c r="G155" s="35"/>
      <c r="H155" s="14">
        <v>8100</v>
      </c>
    </row>
    <row r="158" spans="1:8" ht="24" customHeight="1" x14ac:dyDescent="0.2">
      <c r="A158" s="32" t="s">
        <v>173</v>
      </c>
      <c r="B158" s="33"/>
      <c r="C158" s="33"/>
      <c r="D158" s="33"/>
      <c r="E158" s="33"/>
      <c r="F158" s="33"/>
      <c r="G158" s="33"/>
      <c r="H158" s="33"/>
    </row>
    <row r="159" spans="1:8" ht="22" customHeight="1" x14ac:dyDescent="0.2">
      <c r="A159" s="1" t="s">
        <v>38</v>
      </c>
      <c r="B159" s="1" t="s">
        <v>39</v>
      </c>
      <c r="C159" s="1" t="s">
        <v>40</v>
      </c>
      <c r="D159" s="1" t="s">
        <v>5</v>
      </c>
      <c r="E159" s="1" t="s">
        <v>41</v>
      </c>
      <c r="F159" s="1" t="s">
        <v>42</v>
      </c>
      <c r="G159" s="1" t="s">
        <v>43</v>
      </c>
      <c r="H159" s="1" t="s">
        <v>44</v>
      </c>
    </row>
    <row r="160" spans="1:8" ht="20" customHeight="1" x14ac:dyDescent="0.2">
      <c r="A160" s="4" t="s">
        <v>45</v>
      </c>
      <c r="B160" s="3" t="s">
        <v>142</v>
      </c>
      <c r="C160" s="10" t="s">
        <v>47</v>
      </c>
      <c r="D160" s="4">
        <v>15</v>
      </c>
      <c r="E160" s="4" t="s">
        <v>48</v>
      </c>
      <c r="F160" s="11">
        <v>1.05</v>
      </c>
      <c r="G160" s="5">
        <v>280</v>
      </c>
      <c r="H160" s="12">
        <f t="shared" ref="H160:H167" si="11">F160*G160</f>
        <v>294</v>
      </c>
    </row>
    <row r="161" spans="1:8" ht="20" customHeight="1" x14ac:dyDescent="0.2">
      <c r="A161" s="4" t="s">
        <v>49</v>
      </c>
      <c r="B161" s="3" t="s">
        <v>174</v>
      </c>
      <c r="C161" s="10" t="s">
        <v>175</v>
      </c>
      <c r="D161" s="4">
        <v>40</v>
      </c>
      <c r="E161" s="4" t="s">
        <v>55</v>
      </c>
      <c r="F161" s="11">
        <v>6.0000000000000001E-3</v>
      </c>
      <c r="G161" s="5">
        <v>11000</v>
      </c>
      <c r="H161" s="12">
        <f t="shared" si="11"/>
        <v>66</v>
      </c>
    </row>
    <row r="162" spans="1:8" ht="20" customHeight="1" x14ac:dyDescent="0.2">
      <c r="A162" s="4" t="s">
        <v>52</v>
      </c>
      <c r="B162" s="3" t="s">
        <v>176</v>
      </c>
      <c r="C162" s="10" t="s">
        <v>177</v>
      </c>
      <c r="D162" s="4">
        <v>0.3</v>
      </c>
      <c r="E162" s="4" t="s">
        <v>48</v>
      </c>
      <c r="F162" s="11">
        <v>1.1000000000000001</v>
      </c>
      <c r="G162" s="5">
        <v>75</v>
      </c>
      <c r="H162" s="12">
        <f t="shared" si="11"/>
        <v>82.5</v>
      </c>
    </row>
    <row r="163" spans="1:8" ht="20" customHeight="1" x14ac:dyDescent="0.2">
      <c r="A163" s="4" t="s">
        <v>56</v>
      </c>
      <c r="B163" s="3" t="s">
        <v>178</v>
      </c>
      <c r="C163" s="10" t="s">
        <v>179</v>
      </c>
      <c r="D163" s="4">
        <v>240</v>
      </c>
      <c r="E163" s="4" t="s">
        <v>55</v>
      </c>
      <c r="F163" s="11">
        <v>4.2000000000000003E-2</v>
      </c>
      <c r="G163" s="5">
        <v>13500</v>
      </c>
      <c r="H163" s="12">
        <f t="shared" si="11"/>
        <v>567</v>
      </c>
    </row>
    <row r="164" spans="1:8" ht="20" customHeight="1" x14ac:dyDescent="0.2">
      <c r="A164" s="4" t="s">
        <v>59</v>
      </c>
      <c r="B164" s="3" t="s">
        <v>180</v>
      </c>
      <c r="C164" s="10" t="s">
        <v>181</v>
      </c>
      <c r="D164" s="4">
        <v>240</v>
      </c>
      <c r="E164" s="4" t="s">
        <v>48</v>
      </c>
      <c r="F164" s="11">
        <v>1.02</v>
      </c>
      <c r="G164" s="5">
        <v>540</v>
      </c>
      <c r="H164" s="12">
        <f t="shared" si="11"/>
        <v>550.79999999999995</v>
      </c>
    </row>
    <row r="165" spans="1:8" ht="20" customHeight="1" x14ac:dyDescent="0.2">
      <c r="A165" s="4" t="s">
        <v>62</v>
      </c>
      <c r="B165" s="3" t="s">
        <v>182</v>
      </c>
      <c r="C165" s="10" t="s">
        <v>183</v>
      </c>
      <c r="D165" s="4">
        <v>60</v>
      </c>
      <c r="E165" s="4" t="s">
        <v>48</v>
      </c>
      <c r="F165" s="11">
        <v>1.05</v>
      </c>
      <c r="G165" s="5">
        <v>590</v>
      </c>
      <c r="H165" s="12">
        <f t="shared" si="11"/>
        <v>619.5</v>
      </c>
    </row>
    <row r="166" spans="1:8" ht="20" customHeight="1" x14ac:dyDescent="0.2">
      <c r="A166" s="4" t="s">
        <v>65</v>
      </c>
      <c r="B166" s="3" t="s">
        <v>184</v>
      </c>
      <c r="C166" s="10" t="s">
        <v>185</v>
      </c>
      <c r="D166" s="4">
        <v>1</v>
      </c>
      <c r="E166" s="4" t="s">
        <v>48</v>
      </c>
      <c r="F166" s="11">
        <v>1.1200000000000001</v>
      </c>
      <c r="G166" s="5">
        <v>65</v>
      </c>
      <c r="H166" s="12">
        <f t="shared" si="11"/>
        <v>72.800000000000011</v>
      </c>
    </row>
    <row r="167" spans="1:8" ht="20" customHeight="1" x14ac:dyDescent="0.2">
      <c r="A167" s="4" t="s">
        <v>186</v>
      </c>
      <c r="B167" s="3" t="s">
        <v>187</v>
      </c>
      <c r="C167" s="10" t="s">
        <v>188</v>
      </c>
      <c r="D167" s="4">
        <v>40</v>
      </c>
      <c r="E167" s="4" t="s">
        <v>55</v>
      </c>
      <c r="F167" s="11">
        <v>0.01</v>
      </c>
      <c r="G167" s="5">
        <v>11000</v>
      </c>
      <c r="H167" s="12">
        <f t="shared" si="11"/>
        <v>110</v>
      </c>
    </row>
    <row r="168" spans="1:8" ht="22" customHeight="1" x14ac:dyDescent="0.2">
      <c r="A168" s="31" t="s">
        <v>189</v>
      </c>
      <c r="B168" s="30"/>
      <c r="C168" s="30"/>
      <c r="D168" s="30"/>
      <c r="E168" s="30"/>
      <c r="F168" s="30"/>
      <c r="G168" s="30"/>
      <c r="H168" s="6">
        <f>SUM(H160:H167)</f>
        <v>2362.6000000000004</v>
      </c>
    </row>
    <row r="169" spans="1:8" ht="20" customHeight="1" x14ac:dyDescent="0.2">
      <c r="A169" s="29" t="s">
        <v>69</v>
      </c>
      <c r="B169" s="30"/>
      <c r="C169" s="30"/>
      <c r="D169" s="30"/>
      <c r="E169" s="30"/>
      <c r="F169" s="30"/>
      <c r="G169" s="30"/>
      <c r="H169" s="5">
        <f>H168*0.05</f>
        <v>118.13000000000002</v>
      </c>
    </row>
    <row r="170" spans="1:8" ht="20" customHeight="1" x14ac:dyDescent="0.2">
      <c r="A170" s="29" t="s">
        <v>70</v>
      </c>
      <c r="B170" s="30"/>
      <c r="C170" s="30"/>
      <c r="D170" s="30"/>
      <c r="E170" s="30"/>
      <c r="F170" s="30"/>
      <c r="G170" s="30"/>
      <c r="H170" s="5">
        <f>H168*0.03</f>
        <v>70.878000000000014</v>
      </c>
    </row>
    <row r="171" spans="1:8" ht="20" customHeight="1" x14ac:dyDescent="0.2">
      <c r="A171" s="29" t="s">
        <v>71</v>
      </c>
      <c r="B171" s="30"/>
      <c r="C171" s="30"/>
      <c r="D171" s="30"/>
      <c r="E171" s="30"/>
      <c r="F171" s="30"/>
      <c r="G171" s="30"/>
      <c r="H171" s="5">
        <f>H168*0.15</f>
        <v>354.39000000000004</v>
      </c>
    </row>
    <row r="172" spans="1:8" ht="24" customHeight="1" x14ac:dyDescent="0.2">
      <c r="A172" s="31" t="s">
        <v>190</v>
      </c>
      <c r="B172" s="30"/>
      <c r="C172" s="30"/>
      <c r="D172" s="30"/>
      <c r="E172" s="30"/>
      <c r="F172" s="30"/>
      <c r="G172" s="30"/>
      <c r="H172" s="6">
        <f>SUM(H168:H171)</f>
        <v>2905.9980000000005</v>
      </c>
    </row>
    <row r="173" spans="1:8" ht="24" customHeight="1" x14ac:dyDescent="0.2">
      <c r="A173" s="31" t="s">
        <v>191</v>
      </c>
      <c r="B173" s="30"/>
      <c r="C173" s="30"/>
      <c r="D173" s="30"/>
      <c r="E173" s="30"/>
      <c r="F173" s="30"/>
      <c r="G173" s="30"/>
      <c r="H173" s="8">
        <f>H172/(1-0.35)</f>
        <v>4470.7661538461543</v>
      </c>
    </row>
    <row r="174" spans="1:8" ht="24" customHeight="1" x14ac:dyDescent="0.2">
      <c r="A174" s="34" t="s">
        <v>192</v>
      </c>
      <c r="B174" s="35"/>
      <c r="C174" s="35"/>
      <c r="D174" s="35"/>
      <c r="E174" s="35"/>
      <c r="F174" s="35"/>
      <c r="G174" s="35"/>
      <c r="H174" s="14">
        <v>6700</v>
      </c>
    </row>
    <row r="177" spans="1:8" ht="24" customHeight="1" x14ac:dyDescent="0.2">
      <c r="A177" s="32" t="s">
        <v>193</v>
      </c>
      <c r="B177" s="33"/>
      <c r="C177" s="33"/>
      <c r="D177" s="33"/>
      <c r="E177" s="33"/>
      <c r="F177" s="33"/>
      <c r="G177" s="33"/>
      <c r="H177" s="33"/>
    </row>
    <row r="178" spans="1:8" ht="22" customHeight="1" x14ac:dyDescent="0.2">
      <c r="A178" s="1" t="s">
        <v>38</v>
      </c>
      <c r="B178" s="1" t="s">
        <v>39</v>
      </c>
      <c r="C178" s="1" t="s">
        <v>40</v>
      </c>
      <c r="D178" s="1" t="s">
        <v>5</v>
      </c>
      <c r="E178" s="1" t="s">
        <v>41</v>
      </c>
      <c r="F178" s="1" t="s">
        <v>42</v>
      </c>
      <c r="G178" s="1" t="s">
        <v>43</v>
      </c>
      <c r="H178" s="1" t="s">
        <v>44</v>
      </c>
    </row>
    <row r="179" spans="1:8" ht="20" customHeight="1" x14ac:dyDescent="0.2">
      <c r="A179" s="4" t="s">
        <v>45</v>
      </c>
      <c r="B179" s="3" t="s">
        <v>142</v>
      </c>
      <c r="C179" s="10" t="s">
        <v>47</v>
      </c>
      <c r="D179" s="4">
        <v>15</v>
      </c>
      <c r="E179" s="4" t="s">
        <v>48</v>
      </c>
      <c r="F179" s="11">
        <v>1.05</v>
      </c>
      <c r="G179" s="5">
        <v>280</v>
      </c>
      <c r="H179" s="12">
        <f t="shared" ref="H179:H185" si="12">F179*G179</f>
        <v>294</v>
      </c>
    </row>
    <row r="180" spans="1:8" ht="20" customHeight="1" x14ac:dyDescent="0.2">
      <c r="A180" s="4" t="s">
        <v>49</v>
      </c>
      <c r="B180" s="3" t="s">
        <v>76</v>
      </c>
      <c r="C180" s="10" t="s">
        <v>194</v>
      </c>
      <c r="D180" s="4">
        <v>0.4</v>
      </c>
      <c r="E180" s="4" t="s">
        <v>48</v>
      </c>
      <c r="F180" s="11">
        <v>1.1000000000000001</v>
      </c>
      <c r="G180" s="5">
        <v>85</v>
      </c>
      <c r="H180" s="12">
        <f t="shared" si="12"/>
        <v>93.500000000000014</v>
      </c>
    </row>
    <row r="181" spans="1:8" ht="20" customHeight="1" x14ac:dyDescent="0.2">
      <c r="A181" s="4" t="s">
        <v>52</v>
      </c>
      <c r="B181" s="3" t="s">
        <v>195</v>
      </c>
      <c r="C181" s="10" t="s">
        <v>196</v>
      </c>
      <c r="D181" s="4">
        <v>240</v>
      </c>
      <c r="E181" s="4" t="s">
        <v>55</v>
      </c>
      <c r="F181" s="11">
        <v>3.7999999999999999E-2</v>
      </c>
      <c r="G181" s="5">
        <v>12500</v>
      </c>
      <c r="H181" s="12">
        <f t="shared" si="12"/>
        <v>475</v>
      </c>
    </row>
    <row r="182" spans="1:8" ht="20" customHeight="1" x14ac:dyDescent="0.2">
      <c r="A182" s="4" t="s">
        <v>56</v>
      </c>
      <c r="B182" s="3" t="s">
        <v>197</v>
      </c>
      <c r="C182" s="10" t="s">
        <v>181</v>
      </c>
      <c r="D182" s="4">
        <v>240</v>
      </c>
      <c r="E182" s="4" t="s">
        <v>48</v>
      </c>
      <c r="F182" s="11">
        <v>1.02</v>
      </c>
      <c r="G182" s="5">
        <v>540</v>
      </c>
      <c r="H182" s="12">
        <f t="shared" si="12"/>
        <v>550.79999999999995</v>
      </c>
    </row>
    <row r="183" spans="1:8" ht="20" customHeight="1" x14ac:dyDescent="0.2">
      <c r="A183" s="4" t="s">
        <v>59</v>
      </c>
      <c r="B183" s="3" t="s">
        <v>198</v>
      </c>
      <c r="C183" s="10" t="s">
        <v>151</v>
      </c>
      <c r="D183" s="4">
        <v>22</v>
      </c>
      <c r="E183" s="4" t="s">
        <v>48</v>
      </c>
      <c r="F183" s="11">
        <v>1.05</v>
      </c>
      <c r="G183" s="5">
        <v>340</v>
      </c>
      <c r="H183" s="12">
        <f t="shared" si="12"/>
        <v>357</v>
      </c>
    </row>
    <row r="184" spans="1:8" ht="20" customHeight="1" x14ac:dyDescent="0.2">
      <c r="A184" s="4" t="s">
        <v>62</v>
      </c>
      <c r="B184" s="3" t="s">
        <v>199</v>
      </c>
      <c r="C184" s="10" t="s">
        <v>200</v>
      </c>
      <c r="D184" s="4">
        <v>180</v>
      </c>
      <c r="E184" s="4" t="s">
        <v>48</v>
      </c>
      <c r="F184" s="11">
        <v>1.02</v>
      </c>
      <c r="G184" s="5">
        <v>620</v>
      </c>
      <c r="H184" s="12">
        <f t="shared" si="12"/>
        <v>632.4</v>
      </c>
    </row>
    <row r="185" spans="1:8" ht="20" customHeight="1" x14ac:dyDescent="0.2">
      <c r="A185" s="4" t="s">
        <v>65</v>
      </c>
      <c r="B185" s="3" t="s">
        <v>201</v>
      </c>
      <c r="C185" s="10" t="s">
        <v>202</v>
      </c>
      <c r="D185" s="4">
        <v>1.5</v>
      </c>
      <c r="E185" s="4" t="s">
        <v>48</v>
      </c>
      <c r="F185" s="11">
        <v>1.1499999999999999</v>
      </c>
      <c r="G185" s="5">
        <v>490</v>
      </c>
      <c r="H185" s="12">
        <f t="shared" si="12"/>
        <v>563.5</v>
      </c>
    </row>
    <row r="186" spans="1:8" ht="22" customHeight="1" x14ac:dyDescent="0.2">
      <c r="A186" s="31" t="s">
        <v>203</v>
      </c>
      <c r="B186" s="30"/>
      <c r="C186" s="30"/>
      <c r="D186" s="30"/>
      <c r="E186" s="30"/>
      <c r="F186" s="30"/>
      <c r="G186" s="30"/>
      <c r="H186" s="6">
        <f>SUM(H179:H185)</f>
        <v>2966.2</v>
      </c>
    </row>
    <row r="187" spans="1:8" ht="20" customHeight="1" x14ac:dyDescent="0.2">
      <c r="A187" s="29" t="s">
        <v>69</v>
      </c>
      <c r="B187" s="30"/>
      <c r="C187" s="30"/>
      <c r="D187" s="30"/>
      <c r="E187" s="30"/>
      <c r="F187" s="30"/>
      <c r="G187" s="30"/>
      <c r="H187" s="5">
        <f>H186*0.05</f>
        <v>148.31</v>
      </c>
    </row>
    <row r="188" spans="1:8" ht="20" customHeight="1" x14ac:dyDescent="0.2">
      <c r="A188" s="29" t="s">
        <v>70</v>
      </c>
      <c r="B188" s="30"/>
      <c r="C188" s="30"/>
      <c r="D188" s="30"/>
      <c r="E188" s="30"/>
      <c r="F188" s="30"/>
      <c r="G188" s="30"/>
      <c r="H188" s="5">
        <f>H186*0.03</f>
        <v>88.98599999999999</v>
      </c>
    </row>
    <row r="189" spans="1:8" ht="20" customHeight="1" x14ac:dyDescent="0.2">
      <c r="A189" s="29" t="s">
        <v>71</v>
      </c>
      <c r="B189" s="30"/>
      <c r="C189" s="30"/>
      <c r="D189" s="30"/>
      <c r="E189" s="30"/>
      <c r="F189" s="30"/>
      <c r="G189" s="30"/>
      <c r="H189" s="5">
        <f>H186*0.15</f>
        <v>444.92999999999995</v>
      </c>
    </row>
    <row r="190" spans="1:8" ht="24" customHeight="1" x14ac:dyDescent="0.2">
      <c r="A190" s="31" t="s">
        <v>204</v>
      </c>
      <c r="B190" s="30"/>
      <c r="C190" s="30"/>
      <c r="D190" s="30"/>
      <c r="E190" s="30"/>
      <c r="F190" s="30"/>
      <c r="G190" s="30"/>
      <c r="H190" s="6">
        <f>SUM(H186:H189)</f>
        <v>3648.4259999999995</v>
      </c>
    </row>
    <row r="191" spans="1:8" ht="24" customHeight="1" x14ac:dyDescent="0.2">
      <c r="A191" s="31" t="s">
        <v>205</v>
      </c>
      <c r="B191" s="30"/>
      <c r="C191" s="30"/>
      <c r="D191" s="30"/>
      <c r="E191" s="30"/>
      <c r="F191" s="30"/>
      <c r="G191" s="30"/>
      <c r="H191" s="8">
        <f>H190/(1-0.35)</f>
        <v>5612.9630769230762</v>
      </c>
    </row>
    <row r="192" spans="1:8" ht="24" customHeight="1" x14ac:dyDescent="0.2">
      <c r="A192" s="34" t="s">
        <v>206</v>
      </c>
      <c r="B192" s="35"/>
      <c r="C192" s="35"/>
      <c r="D192" s="35"/>
      <c r="E192" s="35"/>
      <c r="F192" s="35"/>
      <c r="G192" s="35"/>
      <c r="H192" s="14">
        <v>7550</v>
      </c>
    </row>
    <row r="195" spans="1:8" ht="24" customHeight="1" x14ac:dyDescent="0.2">
      <c r="A195" s="32" t="s">
        <v>207</v>
      </c>
      <c r="B195" s="33"/>
      <c r="C195" s="33"/>
      <c r="D195" s="33"/>
      <c r="E195" s="33"/>
      <c r="F195" s="33"/>
      <c r="G195" s="33"/>
      <c r="H195" s="33"/>
    </row>
    <row r="196" spans="1:8" ht="22" customHeight="1" x14ac:dyDescent="0.2">
      <c r="A196" s="1" t="s">
        <v>38</v>
      </c>
      <c r="B196" s="1" t="s">
        <v>39</v>
      </c>
      <c r="C196" s="1" t="s">
        <v>40</v>
      </c>
      <c r="D196" s="1" t="s">
        <v>5</v>
      </c>
      <c r="E196" s="1" t="s">
        <v>41</v>
      </c>
      <c r="F196" s="1" t="s">
        <v>42</v>
      </c>
      <c r="G196" s="1" t="s">
        <v>43</v>
      </c>
      <c r="H196" s="1" t="s">
        <v>44</v>
      </c>
    </row>
    <row r="197" spans="1:8" ht="20" customHeight="1" x14ac:dyDescent="0.2">
      <c r="A197" s="4" t="s">
        <v>45</v>
      </c>
      <c r="B197" s="3" t="s">
        <v>208</v>
      </c>
      <c r="C197" s="10" t="s">
        <v>209</v>
      </c>
      <c r="D197" s="4">
        <v>4</v>
      </c>
      <c r="E197" s="4" t="s">
        <v>48</v>
      </c>
      <c r="F197" s="11">
        <v>1.1499999999999999</v>
      </c>
      <c r="G197" s="5">
        <v>160</v>
      </c>
      <c r="H197" s="12">
        <f>F197*G197</f>
        <v>184</v>
      </c>
    </row>
    <row r="198" spans="1:8" ht="20" customHeight="1" x14ac:dyDescent="0.2">
      <c r="A198" s="4" t="s">
        <v>49</v>
      </c>
      <c r="B198" s="3" t="s">
        <v>210</v>
      </c>
      <c r="C198" s="10" t="s">
        <v>109</v>
      </c>
      <c r="D198" s="4">
        <v>120</v>
      </c>
      <c r="E198" s="4" t="s">
        <v>55</v>
      </c>
      <c r="F198" s="11">
        <v>2.1999999999999999E-2</v>
      </c>
      <c r="G198" s="5">
        <v>12500</v>
      </c>
      <c r="H198" s="12">
        <f>F198*G198</f>
        <v>275</v>
      </c>
    </row>
    <row r="199" spans="1:8" ht="20" customHeight="1" x14ac:dyDescent="0.2">
      <c r="A199" s="4" t="s">
        <v>52</v>
      </c>
      <c r="B199" s="3" t="s">
        <v>211</v>
      </c>
      <c r="C199" s="10" t="s">
        <v>212</v>
      </c>
      <c r="D199" s="4">
        <v>120</v>
      </c>
      <c r="E199" s="4" t="s">
        <v>48</v>
      </c>
      <c r="F199" s="11">
        <v>1.02</v>
      </c>
      <c r="G199" s="5">
        <v>320</v>
      </c>
      <c r="H199" s="12">
        <f>F199*G199</f>
        <v>326.39999999999998</v>
      </c>
    </row>
    <row r="200" spans="1:8" ht="20" customHeight="1" x14ac:dyDescent="0.2">
      <c r="A200" s="4" t="s">
        <v>56</v>
      </c>
      <c r="B200" s="3" t="s">
        <v>150</v>
      </c>
      <c r="C200" s="10" t="s">
        <v>151</v>
      </c>
      <c r="D200" s="4">
        <v>22</v>
      </c>
      <c r="E200" s="4" t="s">
        <v>48</v>
      </c>
      <c r="F200" s="11">
        <v>1.05</v>
      </c>
      <c r="G200" s="5">
        <v>340</v>
      </c>
      <c r="H200" s="12">
        <f>F200*G200</f>
        <v>357</v>
      </c>
    </row>
    <row r="201" spans="1:8" ht="22" customHeight="1" x14ac:dyDescent="0.2">
      <c r="A201" s="31" t="s">
        <v>213</v>
      </c>
      <c r="B201" s="30"/>
      <c r="C201" s="30"/>
      <c r="D201" s="30"/>
      <c r="E201" s="30"/>
      <c r="F201" s="30"/>
      <c r="G201" s="30"/>
      <c r="H201" s="6">
        <f>SUM(H197:H200)</f>
        <v>1142.4000000000001</v>
      </c>
    </row>
    <row r="202" spans="1:8" ht="20" customHeight="1" x14ac:dyDescent="0.2">
      <c r="A202" s="29" t="s">
        <v>69</v>
      </c>
      <c r="B202" s="30"/>
      <c r="C202" s="30"/>
      <c r="D202" s="30"/>
      <c r="E202" s="30"/>
      <c r="F202" s="30"/>
      <c r="G202" s="30"/>
      <c r="H202" s="5">
        <f>H201*0.05</f>
        <v>57.120000000000005</v>
      </c>
    </row>
    <row r="203" spans="1:8" ht="20" customHeight="1" x14ac:dyDescent="0.2">
      <c r="A203" s="29" t="s">
        <v>70</v>
      </c>
      <c r="B203" s="30"/>
      <c r="C203" s="30"/>
      <c r="D203" s="30"/>
      <c r="E203" s="30"/>
      <c r="F203" s="30"/>
      <c r="G203" s="30"/>
      <c r="H203" s="5">
        <f>H201*0.03</f>
        <v>34.271999999999998</v>
      </c>
    </row>
    <row r="204" spans="1:8" ht="20" customHeight="1" x14ac:dyDescent="0.2">
      <c r="A204" s="29" t="s">
        <v>71</v>
      </c>
      <c r="B204" s="30"/>
      <c r="C204" s="30"/>
      <c r="D204" s="30"/>
      <c r="E204" s="30"/>
      <c r="F204" s="30"/>
      <c r="G204" s="30"/>
      <c r="H204" s="5">
        <f>H201*0.15</f>
        <v>171.36</v>
      </c>
    </row>
    <row r="205" spans="1:8" ht="24" customHeight="1" x14ac:dyDescent="0.2">
      <c r="A205" s="31" t="s">
        <v>214</v>
      </c>
      <c r="B205" s="30"/>
      <c r="C205" s="30"/>
      <c r="D205" s="30"/>
      <c r="E205" s="30"/>
      <c r="F205" s="30"/>
      <c r="G205" s="30"/>
      <c r="H205" s="6">
        <f>SUM(H201:H204)</f>
        <v>1405.152</v>
      </c>
    </row>
    <row r="206" spans="1:8" ht="24" customHeight="1" x14ac:dyDescent="0.2">
      <c r="A206" s="31" t="s">
        <v>215</v>
      </c>
      <c r="B206" s="30"/>
      <c r="C206" s="30"/>
      <c r="D206" s="30"/>
      <c r="E206" s="30"/>
      <c r="F206" s="30"/>
      <c r="G206" s="30"/>
      <c r="H206" s="8">
        <f>H205/(1-0.35)</f>
        <v>2161.7723076923075</v>
      </c>
    </row>
    <row r="207" spans="1:8" ht="24" customHeight="1" x14ac:dyDescent="0.2">
      <c r="A207" s="34" t="s">
        <v>216</v>
      </c>
      <c r="B207" s="35"/>
      <c r="C207" s="35"/>
      <c r="D207" s="35"/>
      <c r="E207" s="35"/>
      <c r="F207" s="35"/>
      <c r="G207" s="35"/>
      <c r="H207" s="14">
        <v>3800</v>
      </c>
    </row>
  </sheetData>
  <mergeCells count="92">
    <mergeCell ref="A114:G114"/>
    <mergeCell ref="A191:G191"/>
    <mergeCell ref="A51:G51"/>
    <mergeCell ref="A21:H21"/>
    <mergeCell ref="A70:G70"/>
    <mergeCell ref="A57:H57"/>
    <mergeCell ref="A54:G54"/>
    <mergeCell ref="A99:G99"/>
    <mergeCell ref="A154:G154"/>
    <mergeCell ref="A101:G101"/>
    <mergeCell ref="A33:G33"/>
    <mergeCell ref="A85:G85"/>
    <mergeCell ref="A140:H140"/>
    <mergeCell ref="A4:K4"/>
    <mergeCell ref="A118:G118"/>
    <mergeCell ref="A149:G149"/>
    <mergeCell ref="A189:G189"/>
    <mergeCell ref="A50:G50"/>
    <mergeCell ref="A86:G86"/>
    <mergeCell ref="A151:G151"/>
    <mergeCell ref="A39:H39"/>
    <mergeCell ref="A135:G135"/>
    <mergeCell ref="A150:G150"/>
    <mergeCell ref="A72:G72"/>
    <mergeCell ref="A134:G134"/>
    <mergeCell ref="A81:G81"/>
    <mergeCell ref="A152:G152"/>
    <mergeCell ref="A31:G31"/>
    <mergeCell ref="A32:G32"/>
    <mergeCell ref="A1:K1"/>
    <mergeCell ref="A170:G170"/>
    <mergeCell ref="A202:G202"/>
    <mergeCell ref="A204:G204"/>
    <mergeCell ref="A67:G67"/>
    <mergeCell ref="A186:G186"/>
    <mergeCell ref="A177:H177"/>
    <mergeCell ref="A90:H90"/>
    <mergeCell ref="A201:G201"/>
    <mergeCell ref="A82:G82"/>
    <mergeCell ref="A132:G132"/>
    <mergeCell ref="A195:H195"/>
    <mergeCell ref="A172:G172"/>
    <mergeCell ref="A187:G187"/>
    <mergeCell ref="A174:G174"/>
    <mergeCell ref="A2:K2"/>
    <mergeCell ref="A153:G153"/>
    <mergeCell ref="A137:G137"/>
    <mergeCell ref="A136:G136"/>
    <mergeCell ref="A192:G192"/>
    <mergeCell ref="A105:G105"/>
    <mergeCell ref="A19:K19"/>
    <mergeCell ref="A71:G71"/>
    <mergeCell ref="A116:G116"/>
    <mergeCell ref="A131:G131"/>
    <mergeCell ref="A100:G100"/>
    <mergeCell ref="A171:G171"/>
    <mergeCell ref="A52:G52"/>
    <mergeCell ref="A123:H123"/>
    <mergeCell ref="A115:G115"/>
    <mergeCell ref="A155:G155"/>
    <mergeCell ref="A30:G30"/>
    <mergeCell ref="A75:H75"/>
    <mergeCell ref="A207:G207"/>
    <mergeCell ref="A158:H158"/>
    <mergeCell ref="A103:G103"/>
    <mergeCell ref="A169:G169"/>
    <mergeCell ref="A87:G87"/>
    <mergeCell ref="A203:G203"/>
    <mergeCell ref="A102:G102"/>
    <mergeCell ref="A173:G173"/>
    <mergeCell ref="A34:G34"/>
    <mergeCell ref="A83:G83"/>
    <mergeCell ref="A108:H108"/>
    <mergeCell ref="A49:G49"/>
    <mergeCell ref="A36:G36"/>
    <mergeCell ref="A119:G119"/>
    <mergeCell ref="A188:G188"/>
    <mergeCell ref="A53:G53"/>
    <mergeCell ref="A35:G35"/>
    <mergeCell ref="A206:G206"/>
    <mergeCell ref="A68:G68"/>
    <mergeCell ref="A190:G190"/>
    <mergeCell ref="A117:G117"/>
    <mergeCell ref="A48:G48"/>
    <mergeCell ref="A168:G168"/>
    <mergeCell ref="A69:G69"/>
    <mergeCell ref="A205:G205"/>
    <mergeCell ref="A133:G133"/>
    <mergeCell ref="A120:G120"/>
    <mergeCell ref="A104:G104"/>
    <mergeCell ref="A84:G84"/>
    <mergeCell ref="A66:G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31.1640625" customWidth="1"/>
    <col min="2" max="2" width="52" customWidth="1"/>
    <col min="3" max="3" width="30" customWidth="1"/>
    <col min="4" max="4" width="25" customWidth="1"/>
    <col min="5" max="6" width="24" customWidth="1"/>
    <col min="7" max="7" width="35" customWidth="1"/>
  </cols>
  <sheetData>
    <row r="1" spans="1:7" ht="40" customHeight="1" x14ac:dyDescent="0.2">
      <c r="A1" s="38" t="s">
        <v>416</v>
      </c>
      <c r="B1" s="33"/>
      <c r="C1" s="33"/>
      <c r="D1" s="33"/>
      <c r="E1" s="33"/>
      <c r="F1" s="33"/>
      <c r="G1" s="33"/>
    </row>
    <row r="2" spans="1:7" ht="22" customHeight="1" x14ac:dyDescent="0.2">
      <c r="A2" s="36" t="s">
        <v>217</v>
      </c>
      <c r="B2" s="33"/>
      <c r="C2" s="33"/>
      <c r="D2" s="33"/>
      <c r="E2" s="33"/>
      <c r="F2" s="33"/>
      <c r="G2" s="33"/>
    </row>
    <row r="4" spans="1:7" ht="26" customHeight="1" x14ac:dyDescent="0.2">
      <c r="A4" s="37" t="s">
        <v>218</v>
      </c>
      <c r="B4" s="33"/>
      <c r="C4" s="33"/>
      <c r="D4" s="33"/>
      <c r="E4" s="33"/>
      <c r="F4" s="33"/>
      <c r="G4" s="33"/>
    </row>
    <row r="5" spans="1:7" ht="26" customHeight="1" x14ac:dyDescent="0.2">
      <c r="A5" s="1" t="s">
        <v>219</v>
      </c>
      <c r="B5" s="1" t="s">
        <v>220</v>
      </c>
      <c r="C5" s="1" t="s">
        <v>221</v>
      </c>
      <c r="D5" s="1" t="s">
        <v>222</v>
      </c>
      <c r="E5" s="1" t="s">
        <v>223</v>
      </c>
      <c r="F5" s="1" t="s">
        <v>224</v>
      </c>
      <c r="G5" s="1" t="s">
        <v>225</v>
      </c>
    </row>
    <row r="6" spans="1:7" ht="22" customHeight="1" x14ac:dyDescent="0.2">
      <c r="A6" s="15" t="s">
        <v>226</v>
      </c>
      <c r="B6" s="3" t="s">
        <v>227</v>
      </c>
      <c r="C6" s="10" t="s">
        <v>228</v>
      </c>
      <c r="D6" s="16">
        <v>6500</v>
      </c>
      <c r="E6" s="17">
        <f>D6*3</f>
        <v>19500</v>
      </c>
      <c r="F6" s="17">
        <f>D6*6</f>
        <v>39000</v>
      </c>
      <c r="G6" s="10" t="s">
        <v>229</v>
      </c>
    </row>
    <row r="7" spans="1:7" ht="22" customHeight="1" x14ac:dyDescent="0.2">
      <c r="A7" s="15" t="s">
        <v>230</v>
      </c>
      <c r="B7" s="3" t="s">
        <v>231</v>
      </c>
      <c r="C7" s="10" t="s">
        <v>232</v>
      </c>
      <c r="D7" s="16">
        <v>11500</v>
      </c>
      <c r="E7" s="17">
        <f>D7*3</f>
        <v>34500</v>
      </c>
      <c r="F7" s="17">
        <f>D7*6</f>
        <v>69000</v>
      </c>
      <c r="G7" s="10" t="s">
        <v>233</v>
      </c>
    </row>
    <row r="8" spans="1:7" ht="22" customHeight="1" x14ac:dyDescent="0.2">
      <c r="A8" s="15" t="s">
        <v>234</v>
      </c>
      <c r="B8" s="3" t="s">
        <v>235</v>
      </c>
      <c r="C8" s="10" t="s">
        <v>236</v>
      </c>
      <c r="D8" s="16">
        <v>16500</v>
      </c>
      <c r="E8" s="17">
        <f>D8*3</f>
        <v>49500</v>
      </c>
      <c r="F8" s="17">
        <f>D8*6</f>
        <v>99000</v>
      </c>
      <c r="G8" s="10" t="s">
        <v>237</v>
      </c>
    </row>
    <row r="9" spans="1:7" ht="22" customHeight="1" x14ac:dyDescent="0.2">
      <c r="A9" s="15" t="s">
        <v>238</v>
      </c>
      <c r="B9" s="3" t="s">
        <v>239</v>
      </c>
      <c r="C9" s="10" t="s">
        <v>240</v>
      </c>
      <c r="D9" s="16">
        <v>21500</v>
      </c>
      <c r="E9" s="17">
        <f>D9*3</f>
        <v>64500</v>
      </c>
      <c r="F9" s="17">
        <f>D9*6</f>
        <v>129000</v>
      </c>
      <c r="G9" s="10" t="s">
        <v>241</v>
      </c>
    </row>
    <row r="10" spans="1:7" ht="22" customHeight="1" x14ac:dyDescent="0.2">
      <c r="A10" s="15" t="s">
        <v>242</v>
      </c>
      <c r="B10" s="3" t="s">
        <v>243</v>
      </c>
      <c r="C10" s="10" t="s">
        <v>244</v>
      </c>
      <c r="D10" s="16">
        <v>26500</v>
      </c>
      <c r="E10" s="17">
        <f>D10*3</f>
        <v>79500</v>
      </c>
      <c r="F10" s="17">
        <f>D10*6</f>
        <v>159000</v>
      </c>
      <c r="G10" s="10" t="s">
        <v>245</v>
      </c>
    </row>
    <row r="13" spans="1:7" ht="26" customHeight="1" x14ac:dyDescent="0.2">
      <c r="A13" s="37" t="s">
        <v>246</v>
      </c>
      <c r="B13" s="33"/>
      <c r="C13" s="33"/>
      <c r="D13" s="33"/>
      <c r="E13" s="33"/>
      <c r="F13" s="33"/>
      <c r="G13" s="33"/>
    </row>
    <row r="14" spans="1:7" ht="26" customHeight="1" x14ac:dyDescent="0.2">
      <c r="A14" s="1" t="s">
        <v>247</v>
      </c>
      <c r="B14" s="1" t="s">
        <v>248</v>
      </c>
      <c r="C14" s="1" t="s">
        <v>249</v>
      </c>
      <c r="D14" s="1" t="s">
        <v>41</v>
      </c>
      <c r="E14" s="1" t="s">
        <v>250</v>
      </c>
      <c r="F14" s="1" t="s">
        <v>251</v>
      </c>
      <c r="G14" s="1" t="s">
        <v>252</v>
      </c>
    </row>
    <row r="15" spans="1:7" ht="22" customHeight="1" x14ac:dyDescent="0.2">
      <c r="A15" s="15" t="s">
        <v>253</v>
      </c>
      <c r="B15" s="3" t="s">
        <v>254</v>
      </c>
      <c r="C15" s="10" t="s">
        <v>255</v>
      </c>
      <c r="D15" s="4" t="s">
        <v>256</v>
      </c>
      <c r="E15" s="4">
        <v>1</v>
      </c>
      <c r="F15" s="18">
        <v>6500</v>
      </c>
      <c r="G15" s="10" t="s">
        <v>257</v>
      </c>
    </row>
    <row r="16" spans="1:7" ht="22" customHeight="1" x14ac:dyDescent="0.2">
      <c r="A16" s="15" t="s">
        <v>258</v>
      </c>
      <c r="B16" s="3" t="s">
        <v>259</v>
      </c>
      <c r="C16" s="10" t="s">
        <v>260</v>
      </c>
      <c r="D16" s="4" t="s">
        <v>261</v>
      </c>
      <c r="E16" s="4">
        <v>1</v>
      </c>
      <c r="F16" s="18">
        <v>4500</v>
      </c>
      <c r="G16" s="10" t="s">
        <v>262</v>
      </c>
    </row>
    <row r="17" spans="1:7" ht="22" customHeight="1" x14ac:dyDescent="0.2">
      <c r="A17" s="15" t="s">
        <v>263</v>
      </c>
      <c r="B17" s="3" t="s">
        <v>264</v>
      </c>
      <c r="C17" s="10" t="s">
        <v>265</v>
      </c>
      <c r="D17" s="4" t="s">
        <v>256</v>
      </c>
      <c r="E17" s="4">
        <v>1</v>
      </c>
      <c r="F17" s="18">
        <v>5000</v>
      </c>
      <c r="G17" s="10" t="s">
        <v>266</v>
      </c>
    </row>
    <row r="18" spans="1:7" ht="22" customHeight="1" x14ac:dyDescent="0.2">
      <c r="A18" s="15" t="s">
        <v>267</v>
      </c>
      <c r="B18" s="3" t="s">
        <v>268</v>
      </c>
      <c r="C18" s="10" t="s">
        <v>269</v>
      </c>
      <c r="D18" s="4" t="s">
        <v>270</v>
      </c>
      <c r="E18" s="4">
        <v>1</v>
      </c>
      <c r="F18" s="18">
        <v>8000</v>
      </c>
      <c r="G18" s="10" t="s">
        <v>271</v>
      </c>
    </row>
    <row r="19" spans="1:7" ht="22" customHeight="1" x14ac:dyDescent="0.2">
      <c r="A19" s="15" t="s">
        <v>272</v>
      </c>
      <c r="B19" s="39" t="s">
        <v>407</v>
      </c>
      <c r="C19" s="10" t="s">
        <v>409</v>
      </c>
      <c r="D19" s="4" t="s">
        <v>256</v>
      </c>
      <c r="E19" s="4">
        <v>1</v>
      </c>
      <c r="F19" s="18">
        <v>15000</v>
      </c>
      <c r="G19" s="10" t="s">
        <v>408</v>
      </c>
    </row>
    <row r="20" spans="1:7" ht="22" customHeight="1" x14ac:dyDescent="0.2">
      <c r="A20" s="15" t="s">
        <v>273</v>
      </c>
      <c r="B20" s="3" t="s">
        <v>274</v>
      </c>
      <c r="C20" s="10" t="s">
        <v>275</v>
      </c>
      <c r="D20" s="4" t="s">
        <v>276</v>
      </c>
      <c r="E20" s="4">
        <v>1</v>
      </c>
      <c r="F20" s="18">
        <v>6000</v>
      </c>
      <c r="G20" s="10" t="s">
        <v>277</v>
      </c>
    </row>
    <row r="21" spans="1:7" ht="22" customHeight="1" x14ac:dyDescent="0.2">
      <c r="A21" s="15" t="s">
        <v>278</v>
      </c>
      <c r="B21" s="3" t="s">
        <v>279</v>
      </c>
      <c r="C21" s="10" t="s">
        <v>280</v>
      </c>
      <c r="D21" s="4" t="s">
        <v>256</v>
      </c>
      <c r="E21" s="4">
        <v>1</v>
      </c>
      <c r="F21" s="18">
        <v>5000</v>
      </c>
      <c r="G21" s="10" t="s">
        <v>281</v>
      </c>
    </row>
    <row r="22" spans="1:7" ht="22" customHeight="1" x14ac:dyDescent="0.2">
      <c r="A22" s="15" t="s">
        <v>410</v>
      </c>
      <c r="B22" s="3" t="s">
        <v>411</v>
      </c>
      <c r="C22" s="10" t="s">
        <v>412</v>
      </c>
      <c r="D22" s="4" t="s">
        <v>256</v>
      </c>
      <c r="E22" s="4">
        <v>1</v>
      </c>
      <c r="F22" s="18">
        <v>5000</v>
      </c>
      <c r="G22" s="10" t="s">
        <v>413</v>
      </c>
    </row>
    <row r="23" spans="1:7" ht="26" customHeight="1" x14ac:dyDescent="0.2">
      <c r="A23" s="34" t="s">
        <v>282</v>
      </c>
      <c r="B23" s="35"/>
      <c r="C23" s="35"/>
      <c r="D23" s="35"/>
      <c r="E23" s="35"/>
      <c r="F23" s="19">
        <f>SUM(F15:F22)</f>
        <v>55000</v>
      </c>
      <c r="G23" s="13"/>
    </row>
    <row r="25" spans="1:7" ht="26" customHeight="1" x14ac:dyDescent="0.2">
      <c r="A25" s="37" t="s">
        <v>283</v>
      </c>
      <c r="B25" s="33"/>
      <c r="C25" s="33"/>
      <c r="D25" s="33"/>
      <c r="E25" s="33"/>
      <c r="F25" s="33"/>
      <c r="G25" s="33"/>
    </row>
    <row r="26" spans="1:7" ht="26" customHeight="1" x14ac:dyDescent="0.2">
      <c r="A26" s="1" t="s">
        <v>284</v>
      </c>
      <c r="B26" s="1" t="s">
        <v>285</v>
      </c>
      <c r="C26" s="1" t="s">
        <v>286</v>
      </c>
      <c r="D26" s="1" t="s">
        <v>287</v>
      </c>
      <c r="E26" s="1" t="s">
        <v>288</v>
      </c>
      <c r="F26" s="1" t="s">
        <v>289</v>
      </c>
      <c r="G26" s="1" t="s">
        <v>290</v>
      </c>
    </row>
    <row r="27" spans="1:7" ht="24" customHeight="1" x14ac:dyDescent="0.2">
      <c r="A27" s="3" t="s">
        <v>291</v>
      </c>
      <c r="B27" s="10" t="s">
        <v>292</v>
      </c>
      <c r="C27" s="7">
        <v>0.18</v>
      </c>
      <c r="D27" s="10"/>
      <c r="E27" s="16">
        <f>1000000*0.18</f>
        <v>180000</v>
      </c>
      <c r="F27" s="10" t="s">
        <v>293</v>
      </c>
      <c r="G27" s="10" t="s">
        <v>294</v>
      </c>
    </row>
    <row r="28" spans="1:7" ht="24" customHeight="1" x14ac:dyDescent="0.2">
      <c r="A28" s="3" t="s">
        <v>295</v>
      </c>
      <c r="B28" s="10" t="s">
        <v>292</v>
      </c>
      <c r="C28" s="7">
        <v>0.04</v>
      </c>
      <c r="D28" s="10" t="s">
        <v>414</v>
      </c>
      <c r="E28" s="16">
        <f>1000000*0.04</f>
        <v>40000</v>
      </c>
      <c r="F28" s="10" t="s">
        <v>296</v>
      </c>
      <c r="G28" s="10" t="s">
        <v>297</v>
      </c>
    </row>
    <row r="29" spans="1:7" ht="24" customHeight="1" x14ac:dyDescent="0.2">
      <c r="A29" s="3" t="s">
        <v>298</v>
      </c>
      <c r="B29" s="10" t="s">
        <v>299</v>
      </c>
      <c r="C29" s="7">
        <v>0.03</v>
      </c>
      <c r="D29" s="10" t="s">
        <v>300</v>
      </c>
      <c r="E29" s="16">
        <f>(1000000+180000+40000+50000+16500)*0.03</f>
        <v>38595</v>
      </c>
      <c r="F29" s="10" t="s">
        <v>301</v>
      </c>
      <c r="G29" s="10" t="s">
        <v>302</v>
      </c>
    </row>
    <row r="30" spans="1:7" ht="24" customHeight="1" x14ac:dyDescent="0.2">
      <c r="A30" s="3" t="s">
        <v>303</v>
      </c>
      <c r="B30" s="10" t="s">
        <v>304</v>
      </c>
      <c r="C30" s="7">
        <v>0.12</v>
      </c>
      <c r="D30" s="10" t="s">
        <v>415</v>
      </c>
      <c r="E30" s="16">
        <f>1305500*0.12</f>
        <v>156660</v>
      </c>
      <c r="F30" s="10" t="s">
        <v>305</v>
      </c>
      <c r="G30" s="10" t="s">
        <v>306</v>
      </c>
    </row>
  </sheetData>
  <mergeCells count="6">
    <mergeCell ref="A13:G13"/>
    <mergeCell ref="A1:G1"/>
    <mergeCell ref="A4:G4"/>
    <mergeCell ref="A25:G25"/>
    <mergeCell ref="A2:G2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topLeftCell="A13" workbookViewId="0">
      <selection activeCell="E24" sqref="E24"/>
    </sheetView>
  </sheetViews>
  <sheetFormatPr baseColWidth="10" defaultColWidth="8.83203125" defaultRowHeight="15" x14ac:dyDescent="0.2"/>
  <cols>
    <col min="1" max="1" width="38" customWidth="1"/>
    <col min="2" max="2" width="24" customWidth="1"/>
    <col min="3" max="3" width="22" customWidth="1"/>
    <col min="4" max="6" width="24" customWidth="1"/>
    <col min="7" max="7" width="26" customWidth="1"/>
  </cols>
  <sheetData>
    <row r="1" spans="1:7" ht="40" customHeight="1" x14ac:dyDescent="0.2">
      <c r="A1" s="38" t="s">
        <v>307</v>
      </c>
      <c r="B1" s="33"/>
      <c r="C1" s="33"/>
      <c r="D1" s="33"/>
      <c r="E1" s="33"/>
      <c r="F1" s="33"/>
      <c r="G1" s="33"/>
    </row>
    <row r="2" spans="1:7" ht="22" customHeight="1" x14ac:dyDescent="0.2">
      <c r="A2" s="36" t="s">
        <v>308</v>
      </c>
      <c r="B2" s="33"/>
      <c r="C2" s="33"/>
      <c r="D2" s="33"/>
      <c r="E2" s="33"/>
      <c r="F2" s="33"/>
      <c r="G2" s="33"/>
    </row>
    <row r="4" spans="1:7" ht="26" customHeight="1" x14ac:dyDescent="0.2">
      <c r="A4" s="37" t="s">
        <v>309</v>
      </c>
      <c r="B4" s="33"/>
      <c r="C4" s="33"/>
      <c r="D4" s="33"/>
      <c r="E4" s="33"/>
      <c r="F4" s="33"/>
      <c r="G4" s="33"/>
    </row>
    <row r="5" spans="1:7" ht="26" customHeight="1" x14ac:dyDescent="0.2">
      <c r="A5" s="1" t="s">
        <v>310</v>
      </c>
      <c r="B5" s="1" t="s">
        <v>311</v>
      </c>
      <c r="C5" s="1" t="s">
        <v>312</v>
      </c>
      <c r="D5" s="1" t="s">
        <v>313</v>
      </c>
      <c r="E5" s="1" t="s">
        <v>314</v>
      </c>
      <c r="F5" s="1" t="s">
        <v>315</v>
      </c>
      <c r="G5" s="1" t="s">
        <v>316</v>
      </c>
    </row>
    <row r="6" spans="1:7" ht="42" customHeight="1" x14ac:dyDescent="0.2">
      <c r="A6" s="20" t="s">
        <v>317</v>
      </c>
      <c r="B6" s="21" t="s">
        <v>318</v>
      </c>
      <c r="C6" s="22">
        <v>-0.3</v>
      </c>
      <c r="D6" s="21" t="s">
        <v>319</v>
      </c>
      <c r="E6" s="21" t="s">
        <v>320</v>
      </c>
      <c r="F6" s="21" t="s">
        <v>321</v>
      </c>
      <c r="G6" s="20" t="s">
        <v>322</v>
      </c>
    </row>
    <row r="7" spans="1:7" ht="42" customHeight="1" x14ac:dyDescent="0.2">
      <c r="A7" s="20" t="s">
        <v>323</v>
      </c>
      <c r="B7" s="21" t="s">
        <v>324</v>
      </c>
      <c r="C7" s="22">
        <v>-0.2</v>
      </c>
      <c r="D7" s="21" t="s">
        <v>325</v>
      </c>
      <c r="E7" s="21" t="s">
        <v>326</v>
      </c>
      <c r="F7" s="21" t="s">
        <v>327</v>
      </c>
      <c r="G7" s="20" t="s">
        <v>328</v>
      </c>
    </row>
    <row r="8" spans="1:7" ht="42" customHeight="1" x14ac:dyDescent="0.2">
      <c r="A8" s="20" t="s">
        <v>329</v>
      </c>
      <c r="B8" s="21" t="s">
        <v>330</v>
      </c>
      <c r="C8" s="22">
        <v>-0.3</v>
      </c>
      <c r="D8" s="21" t="s">
        <v>331</v>
      </c>
      <c r="E8" s="21" t="s">
        <v>332</v>
      </c>
      <c r="F8" s="21" t="s">
        <v>333</v>
      </c>
      <c r="G8" s="20" t="s">
        <v>334</v>
      </c>
    </row>
    <row r="11" spans="1:7" ht="26" customHeight="1" x14ac:dyDescent="0.2">
      <c r="A11" s="37" t="s">
        <v>335</v>
      </c>
      <c r="B11" s="33"/>
      <c r="C11" s="33"/>
      <c r="D11" s="33"/>
      <c r="E11" s="33"/>
      <c r="F11" s="33"/>
      <c r="G11" s="33"/>
    </row>
    <row r="12" spans="1:7" ht="26" customHeight="1" x14ac:dyDescent="0.2">
      <c r="A12" s="1" t="s">
        <v>336</v>
      </c>
      <c r="B12" s="1" t="s">
        <v>337</v>
      </c>
      <c r="C12" s="1" t="s">
        <v>338</v>
      </c>
      <c r="D12" s="1" t="s">
        <v>339</v>
      </c>
      <c r="E12" s="1" t="s">
        <v>340</v>
      </c>
      <c r="F12" s="1" t="s">
        <v>341</v>
      </c>
      <c r="G12" s="1" t="s">
        <v>342</v>
      </c>
    </row>
    <row r="13" spans="1:7" ht="22" customHeight="1" x14ac:dyDescent="0.2">
      <c r="A13" s="3" t="s">
        <v>343</v>
      </c>
      <c r="B13" s="2" t="s">
        <v>344</v>
      </c>
      <c r="C13" s="10" t="s">
        <v>345</v>
      </c>
      <c r="D13" s="23">
        <v>-0.3</v>
      </c>
      <c r="E13" s="10" t="s">
        <v>346</v>
      </c>
      <c r="F13" s="18">
        <v>300000</v>
      </c>
      <c r="G13" s="15" t="s">
        <v>347</v>
      </c>
    </row>
    <row r="14" spans="1:7" ht="22" customHeight="1" x14ac:dyDescent="0.2">
      <c r="A14" s="3" t="s">
        <v>348</v>
      </c>
      <c r="B14" s="2" t="s">
        <v>349</v>
      </c>
      <c r="C14" s="10" t="s">
        <v>350</v>
      </c>
      <c r="D14" s="24">
        <v>-0.25</v>
      </c>
      <c r="E14" s="10" t="s">
        <v>351</v>
      </c>
      <c r="F14" s="18">
        <v>250000</v>
      </c>
      <c r="G14" s="15" t="s">
        <v>352</v>
      </c>
    </row>
    <row r="15" spans="1:7" ht="22" customHeight="1" x14ac:dyDescent="0.2">
      <c r="A15" s="3" t="s">
        <v>353</v>
      </c>
      <c r="B15" s="2" t="s">
        <v>354</v>
      </c>
      <c r="C15" s="10" t="s">
        <v>355</v>
      </c>
      <c r="D15" s="24">
        <v>-0.2</v>
      </c>
      <c r="E15" s="10" t="s">
        <v>356</v>
      </c>
      <c r="F15" s="18">
        <v>200000</v>
      </c>
      <c r="G15" s="15" t="s">
        <v>357</v>
      </c>
    </row>
    <row r="16" spans="1:7" ht="22" customHeight="1" x14ac:dyDescent="0.2">
      <c r="A16" s="3" t="s">
        <v>358</v>
      </c>
      <c r="B16" s="2" t="s">
        <v>359</v>
      </c>
      <c r="C16" s="10" t="s">
        <v>360</v>
      </c>
      <c r="D16" s="24">
        <v>-0.2</v>
      </c>
      <c r="E16" s="10" t="s">
        <v>356</v>
      </c>
      <c r="F16" s="18">
        <v>200000</v>
      </c>
      <c r="G16" s="15" t="s">
        <v>357</v>
      </c>
    </row>
    <row r="17" spans="1:7" ht="22" customHeight="1" x14ac:dyDescent="0.2">
      <c r="A17" s="3" t="s">
        <v>361</v>
      </c>
      <c r="B17" s="2" t="s">
        <v>362</v>
      </c>
      <c r="C17" s="10" t="s">
        <v>363</v>
      </c>
      <c r="D17" s="24">
        <v>0</v>
      </c>
      <c r="E17" s="10" t="s">
        <v>364</v>
      </c>
      <c r="F17" s="18">
        <v>0</v>
      </c>
      <c r="G17" s="15" t="s">
        <v>365</v>
      </c>
    </row>
    <row r="18" spans="1:7" ht="22" customHeight="1" x14ac:dyDescent="0.2">
      <c r="A18" s="3" t="s">
        <v>366</v>
      </c>
      <c r="B18" s="2" t="s">
        <v>367</v>
      </c>
      <c r="C18" s="10" t="s">
        <v>368</v>
      </c>
      <c r="D18" s="24">
        <v>-0.25</v>
      </c>
      <c r="E18" s="10" t="s">
        <v>369</v>
      </c>
      <c r="F18" s="18">
        <v>250000</v>
      </c>
      <c r="G18" s="15" t="s">
        <v>352</v>
      </c>
    </row>
    <row r="19" spans="1:7" ht="22" customHeight="1" x14ac:dyDescent="0.2">
      <c r="A19" s="3" t="s">
        <v>370</v>
      </c>
      <c r="B19" s="2" t="s">
        <v>371</v>
      </c>
      <c r="C19" s="10" t="s">
        <v>345</v>
      </c>
      <c r="D19" s="23">
        <v>-0.3</v>
      </c>
      <c r="E19" s="10" t="s">
        <v>346</v>
      </c>
      <c r="F19" s="18">
        <v>300000</v>
      </c>
      <c r="G19" s="15" t="s">
        <v>347</v>
      </c>
    </row>
    <row r="22" spans="1:7" ht="26" customHeight="1" x14ac:dyDescent="0.2">
      <c r="A22" s="37" t="s">
        <v>372</v>
      </c>
      <c r="B22" s="33"/>
      <c r="C22" s="33"/>
      <c r="D22" s="33"/>
      <c r="E22" s="33"/>
      <c r="F22" s="33"/>
      <c r="G22" s="33"/>
    </row>
    <row r="23" spans="1:7" ht="26" customHeight="1" x14ac:dyDescent="0.2">
      <c r="A23" s="1" t="s">
        <v>373</v>
      </c>
      <c r="B23" s="1" t="s">
        <v>374</v>
      </c>
      <c r="C23" s="1" t="s">
        <v>375</v>
      </c>
      <c r="D23" s="1" t="s">
        <v>376</v>
      </c>
      <c r="E23" s="1" t="s">
        <v>377</v>
      </c>
      <c r="F23" s="1" t="s">
        <v>378</v>
      </c>
      <c r="G23" s="1" t="s">
        <v>379</v>
      </c>
    </row>
    <row r="24" spans="1:7" ht="22" customHeight="1" x14ac:dyDescent="0.2">
      <c r="A24" s="3" t="s">
        <v>380</v>
      </c>
      <c r="B24" s="4">
        <v>180</v>
      </c>
      <c r="C24" s="5">
        <v>8500</v>
      </c>
      <c r="D24" s="18">
        <f>B24*C24</f>
        <v>1530000</v>
      </c>
      <c r="E24" s="25">
        <f>-D24*0.3</f>
        <v>-459000</v>
      </c>
      <c r="F24" s="18">
        <f>D24+E24</f>
        <v>1071000</v>
      </c>
      <c r="G24" s="10" t="s">
        <v>381</v>
      </c>
    </row>
    <row r="25" spans="1:7" ht="22" customHeight="1" x14ac:dyDescent="0.2">
      <c r="A25" s="3" t="s">
        <v>382</v>
      </c>
      <c r="B25" s="4">
        <v>65</v>
      </c>
      <c r="C25" s="5">
        <v>3500</v>
      </c>
      <c r="D25" s="18">
        <f>B25*C25</f>
        <v>227500</v>
      </c>
      <c r="E25" s="25">
        <f>-D25*0.3</f>
        <v>-68250</v>
      </c>
      <c r="F25" s="18">
        <f>D25+E25</f>
        <v>159250</v>
      </c>
      <c r="G25" s="10" t="s">
        <v>381</v>
      </c>
    </row>
    <row r="26" spans="1:7" ht="22" customHeight="1" x14ac:dyDescent="0.2">
      <c r="A26" s="3" t="s">
        <v>383</v>
      </c>
      <c r="B26" s="4">
        <v>95</v>
      </c>
      <c r="C26" s="5">
        <v>6019.06</v>
      </c>
      <c r="D26" s="18">
        <f>B26*C26</f>
        <v>571810.70000000007</v>
      </c>
      <c r="E26" s="25">
        <f>-D26*0.3</f>
        <v>-171543.21000000002</v>
      </c>
      <c r="F26" s="18">
        <f>D26+E26</f>
        <v>400267.49000000005</v>
      </c>
      <c r="G26" s="10" t="s">
        <v>381</v>
      </c>
    </row>
    <row r="27" spans="1:7" ht="22" customHeight="1" x14ac:dyDescent="0.2">
      <c r="A27" s="3" t="s">
        <v>384</v>
      </c>
      <c r="B27" s="4">
        <v>115</v>
      </c>
      <c r="C27" s="5">
        <v>6196.76</v>
      </c>
      <c r="D27" s="18">
        <f>B27*C27</f>
        <v>712627.4</v>
      </c>
      <c r="E27" s="25">
        <f>-D27*0.3</f>
        <v>-213788.22</v>
      </c>
      <c r="F27" s="18">
        <f>D27+E27</f>
        <v>498839.18000000005</v>
      </c>
      <c r="G27" s="10" t="s">
        <v>381</v>
      </c>
    </row>
    <row r="28" spans="1:7" ht="24" customHeight="1" x14ac:dyDescent="0.2">
      <c r="A28" s="3" t="s">
        <v>385</v>
      </c>
      <c r="B28" s="4" t="s">
        <v>386</v>
      </c>
      <c r="C28" s="10" t="s">
        <v>387</v>
      </c>
      <c r="D28" s="16">
        <f>SUM(D24:D27)</f>
        <v>3041938.1</v>
      </c>
      <c r="E28" s="25">
        <f>SUM(E24:E27)</f>
        <v>-912581.42999999993</v>
      </c>
      <c r="F28" s="26">
        <f>D28+E28</f>
        <v>2129356.67</v>
      </c>
      <c r="G28" s="3" t="s">
        <v>388</v>
      </c>
    </row>
    <row r="29" spans="1:7" ht="20" customHeight="1" x14ac:dyDescent="0.2">
      <c r="A29" s="10" t="s">
        <v>291</v>
      </c>
      <c r="B29" s="4" t="s">
        <v>389</v>
      </c>
      <c r="C29" s="10" t="s">
        <v>294</v>
      </c>
      <c r="D29" s="17">
        <f>D28*0.18</f>
        <v>547548.85800000001</v>
      </c>
      <c r="E29" s="17">
        <v>0</v>
      </c>
      <c r="F29" s="17">
        <f>D29</f>
        <v>547548.85800000001</v>
      </c>
      <c r="G29" s="10" t="s">
        <v>294</v>
      </c>
    </row>
    <row r="30" spans="1:7" ht="20" customHeight="1" x14ac:dyDescent="0.2">
      <c r="A30" s="10" t="s">
        <v>295</v>
      </c>
      <c r="B30" s="4" t="s">
        <v>390</v>
      </c>
      <c r="C30" s="10" t="s">
        <v>297</v>
      </c>
      <c r="D30" s="17">
        <f>D28*0.04</f>
        <v>121677.524</v>
      </c>
      <c r="E30" s="17">
        <v>0</v>
      </c>
      <c r="F30" s="17">
        <f>D30</f>
        <v>121677.524</v>
      </c>
      <c r="G30" s="10" t="s">
        <v>297</v>
      </c>
    </row>
    <row r="31" spans="1:7" ht="20" customHeight="1" x14ac:dyDescent="0.2">
      <c r="A31" s="10" t="s">
        <v>391</v>
      </c>
      <c r="B31" s="4" t="s">
        <v>256</v>
      </c>
      <c r="C31" s="17">
        <v>50000</v>
      </c>
      <c r="D31" s="17">
        <v>50000</v>
      </c>
      <c r="E31" s="17">
        <v>0</v>
      </c>
      <c r="F31" s="17">
        <v>50000</v>
      </c>
      <c r="G31" s="10" t="s">
        <v>392</v>
      </c>
    </row>
    <row r="32" spans="1:7" ht="20" customHeight="1" x14ac:dyDescent="0.2">
      <c r="A32" s="10" t="s">
        <v>393</v>
      </c>
      <c r="B32" s="4" t="s">
        <v>394</v>
      </c>
      <c r="C32" s="17">
        <v>16500</v>
      </c>
      <c r="D32" s="17">
        <f>3*C32</f>
        <v>49500</v>
      </c>
      <c r="E32" s="17">
        <v>0</v>
      </c>
      <c r="F32" s="17">
        <f>D32</f>
        <v>49500</v>
      </c>
      <c r="G32" s="10" t="s">
        <v>395</v>
      </c>
    </row>
    <row r="33" spans="1:7" ht="20" customHeight="1" x14ac:dyDescent="0.2">
      <c r="A33" s="10" t="s">
        <v>298</v>
      </c>
      <c r="B33" s="4" t="s">
        <v>396</v>
      </c>
      <c r="C33" s="10" t="s">
        <v>301</v>
      </c>
      <c r="D33" s="17">
        <f>SUM(D28:D32)*0.03</f>
        <v>114319.93446</v>
      </c>
      <c r="E33" s="17">
        <v>0</v>
      </c>
      <c r="F33" s="17">
        <f>SUM(F28:F32)*0.03</f>
        <v>86942.491559999995</v>
      </c>
      <c r="G33" s="10" t="s">
        <v>302</v>
      </c>
    </row>
    <row r="34" spans="1:7" ht="24" customHeight="1" x14ac:dyDescent="0.2">
      <c r="A34" s="3" t="s">
        <v>397</v>
      </c>
      <c r="B34" s="4" t="s">
        <v>398</v>
      </c>
      <c r="C34" s="10" t="s">
        <v>399</v>
      </c>
      <c r="D34" s="27">
        <f>SUM(D28:D33)</f>
        <v>3924984.4164600004</v>
      </c>
      <c r="E34" s="25">
        <f>E28</f>
        <v>-912581.42999999993</v>
      </c>
      <c r="F34" s="28">
        <f>SUM(F28:F33)</f>
        <v>2985025.5435600001</v>
      </c>
      <c r="G34" s="3" t="s">
        <v>400</v>
      </c>
    </row>
    <row r="35" spans="1:7" ht="20" customHeight="1" x14ac:dyDescent="0.2">
      <c r="A35" s="10" t="s">
        <v>401</v>
      </c>
      <c r="B35" s="4" t="s">
        <v>402</v>
      </c>
      <c r="C35" s="10" t="s">
        <v>403</v>
      </c>
      <c r="D35" s="17">
        <f>D34*0.12</f>
        <v>470998.12997520005</v>
      </c>
      <c r="E35" s="25">
        <f>E34*0.12</f>
        <v>-109509.77159999999</v>
      </c>
      <c r="F35" s="17">
        <f>F34*0.12</f>
        <v>358203.06522719999</v>
      </c>
      <c r="G35" s="10" t="s">
        <v>306</v>
      </c>
    </row>
    <row r="36" spans="1:7" ht="28" customHeight="1" x14ac:dyDescent="0.2">
      <c r="A36" s="3" t="s">
        <v>404</v>
      </c>
      <c r="B36" s="15" t="s">
        <v>405</v>
      </c>
      <c r="C36" s="3" t="s">
        <v>398</v>
      </c>
      <c r="D36" s="27">
        <f>D34+D35</f>
        <v>4395982.5464352006</v>
      </c>
      <c r="E36" s="25">
        <f>E34+E35</f>
        <v>-1022091.2015999999</v>
      </c>
      <c r="F36" s="27">
        <f>F34+F35</f>
        <v>3343228.6087871999</v>
      </c>
      <c r="G36" s="3" t="s">
        <v>406</v>
      </c>
    </row>
  </sheetData>
  <mergeCells count="5">
    <mergeCell ref="A1:G1"/>
    <mergeCell ref="A22:G22"/>
    <mergeCell ref="A4:G4"/>
    <mergeCell ref="A2:G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1. Panely</vt:lpstr>
      <vt:lpstr>2. Služby a Staveniště</vt:lpstr>
      <vt:lpstr>3. Slevová Strategie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Tereza Sigmundová</cp:lastModifiedBy>
  <dcterms:created xsi:type="dcterms:W3CDTF">2026-08-04T09:58:27Z</dcterms:created>
  <dcterms:modified xsi:type="dcterms:W3CDTF">2026-08-04T10:28:21Z</dcterms:modified>
</cp:coreProperties>
</file>