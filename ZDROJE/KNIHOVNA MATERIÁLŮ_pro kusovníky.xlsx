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zasigmundova/Documents/KONFIGURÁTOR HRUBÉ STAVBY/ZDROJE/"/>
    </mc:Choice>
  </mc:AlternateContent>
  <xr:revisionPtr revIDLastSave="0" documentId="8_{CCE97D4A-BD21-3342-8F11-20AEAD07C40A}" xr6:coauthVersionLast="47" xr6:coauthVersionMax="47" xr10:uidLastSave="{00000000-0000-0000-0000-000000000000}"/>
  <bookViews>
    <workbookView xWindow="0" yWindow="500" windowWidth="28800" windowHeight="17500" xr2:uid="{A5909CEB-DFF6-5744-B708-D663AAB8FA54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6" i="1" l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tc={B32358F9-4871-5549-B521-144A58001DDF}</author>
  </authors>
  <commentList>
    <comment ref="F5" authorId="0" shapeId="0" xr:uid="{B32358F9-4871-5549-B521-144A58001DDF}">
      <text>
        <t>[Komentář ve vlákně]
Vaše verze aplikace Excel vám umožňuje číst tento komentář ve vlákně, ale jakékoli jeho úpravy se odeberou, pokud se soubor otevře v novější verzi aplikace Excel. Další informace: https://go.microsoft.com/fwlink/?linkid=870924
Komentář:
    doprava materiálu do výroby,
balné a manipulační poplatky,
vykládku, pojištění přepravy a další náklady přímo spojené s nákupem</t>
      </text>
    </comment>
  </commentList>
</comments>
</file>

<file path=xl/sharedStrings.xml><?xml version="1.0" encoding="utf-8"?>
<sst xmlns="http://schemas.openxmlformats.org/spreadsheetml/2006/main" count="163" uniqueCount="114">
  <si>
    <t>VESPER FRAMES — ČÍSELNÍK MATERIÁLŮ A NÁKLADOVÝCH CEN</t>
  </si>
  <si>
    <t xml:space="preserve">8.1 KNIHOVNA MATERIÁLŮ </t>
  </si>
  <si>
    <t>Kód materiálu</t>
  </si>
  <si>
    <t>Název / technická specifikace</t>
  </si>
  <si>
    <t>Tloušťka mm</t>
  </si>
  <si>
    <t>MJ</t>
  </si>
  <si>
    <t>Nákupní cena po rabatu</t>
  </si>
  <si>
    <t>Pořizovací přirážka</t>
  </si>
  <si>
    <t>Nákladová cena/MJ</t>
  </si>
  <si>
    <t>MAT-001</t>
  </si>
  <si>
    <t>Fermacell 15 mm</t>
  </si>
  <si>
    <t>m²</t>
  </si>
  <si>
    <t>MAT-002</t>
  </si>
  <si>
    <t>Vesper VaporStop 0.2 mm</t>
  </si>
  <si>
    <t>MAT-003</t>
  </si>
  <si>
    <t>KVH hranol 160 mm</t>
  </si>
  <si>
    <t>m³</t>
  </si>
  <si>
    <t>MAT-004</t>
  </si>
  <si>
    <t>Isover Uni 160 mm</t>
  </si>
  <si>
    <t>MAT-005</t>
  </si>
  <si>
    <t>Fermacell H2O 15 mm</t>
  </si>
  <si>
    <t>MAT-006</t>
  </si>
  <si>
    <t>Fasádní deska TF 160 mm</t>
  </si>
  <si>
    <t>MAT-007</t>
  </si>
  <si>
    <t>Ceresit CT System</t>
  </si>
  <si>
    <t>MAT-008</t>
  </si>
  <si>
    <t>KVH hranol 200 mm</t>
  </si>
  <si>
    <t>MAT-009</t>
  </si>
  <si>
    <t>Isover Uni 200 mm</t>
  </si>
  <si>
    <t>MAT-010</t>
  </si>
  <si>
    <t>STEICO protect 60 mm</t>
  </si>
  <si>
    <t>MAT-011</t>
  </si>
  <si>
    <t>Latě 40×60 mm (impregnované)</t>
  </si>
  <si>
    <t>MAT-012</t>
  </si>
  <si>
    <t>Sibiřský modřín Rhombus 24×68 mm</t>
  </si>
  <si>
    <t>MAT-013</t>
  </si>
  <si>
    <t>Knauf DF 15 mm</t>
  </si>
  <si>
    <t>MAT-014</t>
  </si>
  <si>
    <t>DP1 ocelový profil 160 mm</t>
  </si>
  <si>
    <t>MAT-015</t>
  </si>
  <si>
    <t>Knauf FKD N Thermal 160 mm</t>
  </si>
  <si>
    <t>MAT-016</t>
  </si>
  <si>
    <t>Promat Promatect H 15 mm</t>
  </si>
  <si>
    <t>MAT-017</t>
  </si>
  <si>
    <t>Isover TF Profi 160 mm</t>
  </si>
  <si>
    <t>MAT-018</t>
  </si>
  <si>
    <t>Weber therm A2 silikát</t>
  </si>
  <si>
    <t>MAT-019</t>
  </si>
  <si>
    <t>KVH hranol 120 mm</t>
  </si>
  <si>
    <t>MAT-020</t>
  </si>
  <si>
    <t>Isover Piano 120 mm</t>
  </si>
  <si>
    <t>MAT-021</t>
  </si>
  <si>
    <t>KVH hranol 100 mm</t>
  </si>
  <si>
    <t>MAT-022</t>
  </si>
  <si>
    <t>Isover Akustik 100 mm</t>
  </si>
  <si>
    <t>MAT-023</t>
  </si>
  <si>
    <t>Akustická mezera 20 mm</t>
  </si>
  <si>
    <t>MAT-024</t>
  </si>
  <si>
    <t>Fermacell 12.5 mm</t>
  </si>
  <si>
    <t>MAT-025</t>
  </si>
  <si>
    <t>KVH hranol 75 mm</t>
  </si>
  <si>
    <t>MAT-026</t>
  </si>
  <si>
    <t>Isover Akustik 75 mm</t>
  </si>
  <si>
    <t>MAT-027</t>
  </si>
  <si>
    <t>Dřevěné laťování 40 mm + pružné závěsy</t>
  </si>
  <si>
    <t>MAT-028</t>
  </si>
  <si>
    <t>KVH / I-nosníky 240 mm</t>
  </si>
  <si>
    <t>MAT-029</t>
  </si>
  <si>
    <t>Isover Piano 140 mm</t>
  </si>
  <si>
    <t>MAT-030</t>
  </si>
  <si>
    <t>Rigips Isover T-N 60 mm</t>
  </si>
  <si>
    <t>MAT-031</t>
  </si>
  <si>
    <t>OSB 3 deska N+D 22 mm</t>
  </si>
  <si>
    <t>MAT-032</t>
  </si>
  <si>
    <t>2× Fermacell 12.5 mm</t>
  </si>
  <si>
    <t>MAT-033</t>
  </si>
  <si>
    <t>Vibroizolační profily Senor</t>
  </si>
  <si>
    <t>MAT-034</t>
  </si>
  <si>
    <t>Fermacell Voštinový zásyp 60 mm</t>
  </si>
  <si>
    <t>MAT-035</t>
  </si>
  <si>
    <t>Dřevěné I-nosníky 240 mm</t>
  </si>
  <si>
    <t>MAT-036</t>
  </si>
  <si>
    <t>Isover Akustik 140 mm</t>
  </si>
  <si>
    <t>MAT-037</t>
  </si>
  <si>
    <t>Isover Floor 60 mm</t>
  </si>
  <si>
    <t>MAT-038</t>
  </si>
  <si>
    <t>Fermacell E22 mm</t>
  </si>
  <si>
    <t>MAT-039</t>
  </si>
  <si>
    <t>Latě 40×60 mm</t>
  </si>
  <si>
    <t>MAT-040</t>
  </si>
  <si>
    <t>Vesper ReflectAlu 0.3 mm</t>
  </si>
  <si>
    <t>MAT-041</t>
  </si>
  <si>
    <t>KVH krokevní nosníky 240 mm</t>
  </si>
  <si>
    <t>MAT-042</t>
  </si>
  <si>
    <t>Isover Uni 240 mm</t>
  </si>
  <si>
    <t>MAT-043</t>
  </si>
  <si>
    <t>STEICO special dry 60 mm</t>
  </si>
  <si>
    <t>MAT-044</t>
  </si>
  <si>
    <t>Dörken Delta-Vent N</t>
  </si>
  <si>
    <t>MAT-045</t>
  </si>
  <si>
    <t>Impregnované latě 40×60 mm</t>
  </si>
  <si>
    <t>MAT-046</t>
  </si>
  <si>
    <t>Vesper VaporStop Alu 0.4 mm</t>
  </si>
  <si>
    <t>MAT-047</t>
  </si>
  <si>
    <t>KVH 240 mm</t>
  </si>
  <si>
    <t>MAT-048</t>
  </si>
  <si>
    <t>Klíny EPS 150 Stabil 180 mm</t>
  </si>
  <si>
    <t>MAT-049</t>
  </si>
  <si>
    <t>Fatrafol 810 (tl. 1.5 mm)</t>
  </si>
  <si>
    <t>MAT-050</t>
  </si>
  <si>
    <t>Glastek 40 Special Mineral</t>
  </si>
  <si>
    <t>MAT-051</t>
  </si>
  <si>
    <t>EPS 100 Stabil 120 mm</t>
  </si>
  <si>
    <t>Každý materiál se oceňuje pouze zde.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</si>
</sst>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\ &quot;Kč&quot;;[Red]\(#,##0.00\ &quot;Kč&quot;\);\-"/>
    <numFmt numFmtId="166" formatCode="0.0%;[Red]\(0.0%\);\-"/>
  </numFmts>
  <fonts count="11">
    <font>
      <sz val="12"/>
      <color theme="1"/>
      <name val="Aptos Narrow"/>
      <family val="2"/>
      <charset val="238"/>
      <scheme val="minor"/>
    </font>
    <font>
      <sz val="11"/>
      <name val="Carlito"/>
    </font>
    <font>
      <b/>
      <sz val="18"/>
      <color rgb="FFFFFFFF"/>
      <name val="Aptos"/>
    </font>
    <font>
      <i/>
      <sz val="10"/>
      <color rgb="FF64748B"/>
      <name val="Aptos"/>
    </font>
    <font>
      <sz val="11"/>
      <name val="Aptos"/>
    </font>
    <font>
      <b/>
      <sz val="12"/>
      <color rgb="FF1E293B"/>
      <name val="Aptos"/>
    </font>
    <font>
      <b/>
      <sz val="9"/>
      <color rgb="FFFFFFFF"/>
      <name val="Aptos"/>
    </font>
    <font>
      <sz val="9"/>
      <color rgb="FF1E293B"/>
      <name val="Aptos"/>
    </font>
    <font>
      <sz val="9"/>
      <color rgb="FF0000FF"/>
      <name val="Aptos"/>
    </font>
    <font>
      <sz val="9"/>
      <color rgb="FF000000"/>
      <name val="Aptos"/>
    </font>
    <font>
      <sz val="10"/>
      <color rgb="FF000000"/>
      <name val="Tahoma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vertical="center"/>
    </xf>
    <xf numFmtId="0" fontId="3" fillId="3" borderId="0" xfId="1" applyFont="1" applyFill="1" applyAlignment="1">
      <alignment vertical="center" wrapText="1"/>
    </xf>
    <xf numFmtId="0" fontId="4" fillId="0" borderId="0" xfId="1" applyFont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164" fontId="7" fillId="0" borderId="1" xfId="1" applyNumberFormat="1" applyFont="1" applyBorder="1" applyAlignment="1">
      <alignment vertical="center" wrapText="1"/>
    </xf>
    <xf numFmtId="165" fontId="9" fillId="0" borderId="1" xfId="1" applyNumberFormat="1" applyFont="1" applyBorder="1" applyAlignment="1">
      <alignment vertical="center" wrapText="1"/>
    </xf>
    <xf numFmtId="0" fontId="7" fillId="0" borderId="3" xfId="1" applyFont="1" applyBorder="1" applyAlignment="1">
      <alignment vertical="center" wrapText="1"/>
    </xf>
    <xf numFmtId="164" fontId="7" fillId="0" borderId="3" xfId="1" applyNumberFormat="1" applyFont="1" applyBorder="1" applyAlignment="1">
      <alignment vertical="center" wrapText="1"/>
    </xf>
    <xf numFmtId="165" fontId="9" fillId="0" borderId="3" xfId="1" applyNumberFormat="1" applyFont="1" applyBorder="1" applyAlignment="1">
      <alignment vertical="center" wrapText="1"/>
    </xf>
    <xf numFmtId="165" fontId="8" fillId="0" borderId="1" xfId="1" applyNumberFormat="1" applyFont="1" applyFill="1" applyBorder="1" applyAlignment="1">
      <alignment vertical="center" wrapText="1"/>
    </xf>
    <xf numFmtId="166" fontId="8" fillId="0" borderId="1" xfId="1" applyNumberFormat="1" applyFont="1" applyFill="1" applyBorder="1" applyAlignment="1">
      <alignment vertical="center" wrapText="1"/>
    </xf>
    <xf numFmtId="165" fontId="8" fillId="0" borderId="3" xfId="1" applyNumberFormat="1" applyFont="1" applyFill="1" applyBorder="1" applyAlignment="1">
      <alignment vertical="center" wrapText="1"/>
    </xf>
    <xf numFmtId="166" fontId="8" fillId="0" borderId="3" xfId="1" applyNumberFormat="1" applyFont="1" applyFill="1" applyBorder="1" applyAlignment="1">
      <alignment vertical="center" wrapText="1"/>
    </xf>
  </cellXfs>
  <cellStyles count="2">
    <cellStyle name="Normal" xfId="1" xr:uid="{157FA834-D3B7-5443-907D-08183F2A057B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ereza Sigmundová" id="{23978EC1-F196-8C4D-AAF7-492C8625780A}" userId="S::tereza.sigmundova@vesperhomes.cz::c80b33db-7f2d-4664-8190-3abc713117d9" providerId="AD"/>
</personList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8-04T12:38:56.66" personId="{23978EC1-F196-8C4D-AAF7-492C8625780A}" id="{B32358F9-4871-5549-B521-144A58001DDF}">
    <text>doprava materiálu do výroby,
balné a manipulační poplatky,
vykládku, pojištění přepravy a další náklady přímo spojené s nákupem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7902-4486-E644-8943-B09650C381B3}">
  <dimension ref="A1:G56"/>
  <sheetViews>
    <sheetView tabSelected="1" workbookViewId="0">
      <selection activeCell="K8" sqref="K8"/>
    </sheetView>
  </sheetViews>
  <sheetFormatPr baseColWidth="10" defaultColWidth="8.83203125" defaultRowHeight="16"/>
  <cols>
    <col min="1" max="1" width="16" customWidth="1"/>
    <col min="2" max="2" width="42" customWidth="1"/>
    <col min="3" max="4" width="14" customWidth="1"/>
    <col min="5" max="7" width="20" customWidth="1"/>
  </cols>
  <sheetData>
    <row r="1" spans="1:7" ht="34" customHeight="1">
      <c r="A1" s="1" t="s">
        <v>0</v>
      </c>
      <c r="B1" s="1"/>
      <c r="C1" s="1"/>
      <c r="D1" s="1"/>
      <c r="E1" s="1"/>
      <c r="F1" s="1"/>
      <c r="G1" s="1"/>
    </row>
    <row r="2" spans="1:7" ht="25" customHeight="1">
      <c r="A2" s="2" t="s">
        <v>113</v>
      </c>
      <c r="B2" s="2"/>
      <c r="C2" s="2"/>
      <c r="D2" s="2"/>
      <c r="E2" s="2"/>
      <c r="F2" s="2"/>
      <c r="G2" s="2"/>
    </row>
    <row r="3" spans="1:7">
      <c r="A3" s="3"/>
      <c r="B3" s="3"/>
      <c r="C3" s="3"/>
      <c r="D3" s="3"/>
      <c r="E3" s="3"/>
      <c r="F3" s="3"/>
      <c r="G3" s="3"/>
    </row>
    <row r="4" spans="1:7" ht="24" customHeight="1">
      <c r="A4" s="4" t="s">
        <v>1</v>
      </c>
      <c r="B4" s="4"/>
      <c r="C4" s="4"/>
      <c r="D4" s="4"/>
      <c r="E4" s="4"/>
      <c r="F4" s="4"/>
      <c r="G4" s="4"/>
    </row>
    <row r="5" spans="1:7" ht="30" customHeight="1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</row>
    <row r="6" spans="1:7">
      <c r="A6" s="6" t="s">
        <v>9</v>
      </c>
      <c r="B6" s="6" t="s">
        <v>10</v>
      </c>
      <c r="C6" s="7">
        <v>15</v>
      </c>
      <c r="D6" s="6" t="s">
        <v>11</v>
      </c>
      <c r="E6" s="12">
        <v>280</v>
      </c>
      <c r="F6" s="13">
        <v>0</v>
      </c>
      <c r="G6" s="8">
        <f t="shared" ref="G6:G56" si="0">E6*(1+F6)</f>
        <v>280</v>
      </c>
    </row>
    <row r="7" spans="1:7">
      <c r="A7" s="9" t="s">
        <v>12</v>
      </c>
      <c r="B7" s="9" t="s">
        <v>13</v>
      </c>
      <c r="C7" s="10">
        <v>0.2</v>
      </c>
      <c r="D7" s="9" t="s">
        <v>11</v>
      </c>
      <c r="E7" s="14">
        <v>45</v>
      </c>
      <c r="F7" s="15">
        <v>0</v>
      </c>
      <c r="G7" s="11">
        <f t="shared" si="0"/>
        <v>45</v>
      </c>
    </row>
    <row r="8" spans="1:7">
      <c r="A8" s="9" t="s">
        <v>14</v>
      </c>
      <c r="B8" s="9" t="s">
        <v>15</v>
      </c>
      <c r="C8" s="10">
        <v>160</v>
      </c>
      <c r="D8" s="9" t="s">
        <v>16</v>
      </c>
      <c r="E8" s="14">
        <v>12500</v>
      </c>
      <c r="F8" s="15">
        <v>0</v>
      </c>
      <c r="G8" s="11">
        <f t="shared" si="0"/>
        <v>12500</v>
      </c>
    </row>
    <row r="9" spans="1:7">
      <c r="A9" s="9" t="s">
        <v>17</v>
      </c>
      <c r="B9" s="9" t="s">
        <v>18</v>
      </c>
      <c r="C9" s="10">
        <v>160</v>
      </c>
      <c r="D9" s="9" t="s">
        <v>11</v>
      </c>
      <c r="E9" s="14">
        <v>360</v>
      </c>
      <c r="F9" s="15">
        <v>0</v>
      </c>
      <c r="G9" s="11">
        <f t="shared" si="0"/>
        <v>360</v>
      </c>
    </row>
    <row r="10" spans="1:7">
      <c r="A10" s="9" t="s">
        <v>19</v>
      </c>
      <c r="B10" s="9" t="s">
        <v>20</v>
      </c>
      <c r="C10" s="10">
        <v>15</v>
      </c>
      <c r="D10" s="9" t="s">
        <v>11</v>
      </c>
      <c r="E10" s="14">
        <v>320</v>
      </c>
      <c r="F10" s="15">
        <v>0</v>
      </c>
      <c r="G10" s="11">
        <f t="shared" si="0"/>
        <v>320</v>
      </c>
    </row>
    <row r="11" spans="1:7">
      <c r="A11" s="9" t="s">
        <v>21</v>
      </c>
      <c r="B11" s="9" t="s">
        <v>22</v>
      </c>
      <c r="C11" s="10">
        <v>160</v>
      </c>
      <c r="D11" s="9" t="s">
        <v>11</v>
      </c>
      <c r="E11" s="14">
        <v>480</v>
      </c>
      <c r="F11" s="15">
        <v>0</v>
      </c>
      <c r="G11" s="11">
        <f t="shared" si="0"/>
        <v>480</v>
      </c>
    </row>
    <row r="12" spans="1:7">
      <c r="A12" s="9" t="s">
        <v>23</v>
      </c>
      <c r="B12" s="9" t="s">
        <v>24</v>
      </c>
      <c r="C12" s="10">
        <v>8.3000000000000007</v>
      </c>
      <c r="D12" s="9" t="s">
        <v>11</v>
      </c>
      <c r="E12" s="14">
        <v>390</v>
      </c>
      <c r="F12" s="15">
        <v>0</v>
      </c>
      <c r="G12" s="11">
        <f t="shared" si="0"/>
        <v>390</v>
      </c>
    </row>
    <row r="13" spans="1:7">
      <c r="A13" s="9" t="s">
        <v>25</v>
      </c>
      <c r="B13" s="9" t="s">
        <v>26</v>
      </c>
      <c r="C13" s="10">
        <v>200</v>
      </c>
      <c r="D13" s="9" t="s">
        <v>16</v>
      </c>
      <c r="E13" s="14">
        <v>12500</v>
      </c>
      <c r="F13" s="15">
        <v>0</v>
      </c>
      <c r="G13" s="11">
        <f t="shared" si="0"/>
        <v>12500</v>
      </c>
    </row>
    <row r="14" spans="1:7">
      <c r="A14" s="9" t="s">
        <v>27</v>
      </c>
      <c r="B14" s="9" t="s">
        <v>28</v>
      </c>
      <c r="C14" s="10">
        <v>200</v>
      </c>
      <c r="D14" s="9" t="s">
        <v>11</v>
      </c>
      <c r="E14" s="14">
        <v>450</v>
      </c>
      <c r="F14" s="15">
        <v>0</v>
      </c>
      <c r="G14" s="11">
        <f t="shared" si="0"/>
        <v>450</v>
      </c>
    </row>
    <row r="15" spans="1:7">
      <c r="A15" s="9" t="s">
        <v>29</v>
      </c>
      <c r="B15" s="9" t="s">
        <v>30</v>
      </c>
      <c r="C15" s="10">
        <v>60</v>
      </c>
      <c r="D15" s="9" t="s">
        <v>11</v>
      </c>
      <c r="E15" s="14">
        <v>520</v>
      </c>
      <c r="F15" s="15">
        <v>0</v>
      </c>
      <c r="G15" s="11">
        <f t="shared" si="0"/>
        <v>520</v>
      </c>
    </row>
    <row r="16" spans="1:7">
      <c r="A16" s="9" t="s">
        <v>31</v>
      </c>
      <c r="B16" s="9" t="s">
        <v>32</v>
      </c>
      <c r="C16" s="10">
        <v>40</v>
      </c>
      <c r="D16" s="9" t="s">
        <v>16</v>
      </c>
      <c r="E16" s="14">
        <v>11000</v>
      </c>
      <c r="F16" s="15">
        <v>0</v>
      </c>
      <c r="G16" s="11">
        <f t="shared" si="0"/>
        <v>11000</v>
      </c>
    </row>
    <row r="17" spans="1:7">
      <c r="A17" s="9" t="s">
        <v>33</v>
      </c>
      <c r="B17" s="9" t="s">
        <v>34</v>
      </c>
      <c r="C17" s="10">
        <v>24</v>
      </c>
      <c r="D17" s="9" t="s">
        <v>11</v>
      </c>
      <c r="E17" s="14">
        <v>1150</v>
      </c>
      <c r="F17" s="15">
        <v>0</v>
      </c>
      <c r="G17" s="11">
        <f t="shared" si="0"/>
        <v>1150</v>
      </c>
    </row>
    <row r="18" spans="1:7">
      <c r="A18" s="9" t="s">
        <v>35</v>
      </c>
      <c r="B18" s="9" t="s">
        <v>36</v>
      </c>
      <c r="C18" s="10">
        <v>15</v>
      </c>
      <c r="D18" s="9" t="s">
        <v>11</v>
      </c>
      <c r="E18" s="14">
        <v>190</v>
      </c>
      <c r="F18" s="15">
        <v>0</v>
      </c>
      <c r="G18" s="11">
        <f t="shared" si="0"/>
        <v>190</v>
      </c>
    </row>
    <row r="19" spans="1:7">
      <c r="A19" s="9" t="s">
        <v>37</v>
      </c>
      <c r="B19" s="9" t="s">
        <v>38</v>
      </c>
      <c r="C19" s="10">
        <v>160</v>
      </c>
      <c r="D19" s="9" t="s">
        <v>16</v>
      </c>
      <c r="E19" s="14">
        <v>18500</v>
      </c>
      <c r="F19" s="15">
        <v>0</v>
      </c>
      <c r="G19" s="11">
        <f t="shared" si="0"/>
        <v>18500</v>
      </c>
    </row>
    <row r="20" spans="1:7">
      <c r="A20" s="9" t="s">
        <v>39</v>
      </c>
      <c r="B20" s="9" t="s">
        <v>40</v>
      </c>
      <c r="C20" s="10">
        <v>160</v>
      </c>
      <c r="D20" s="9" t="s">
        <v>11</v>
      </c>
      <c r="E20" s="14">
        <v>540</v>
      </c>
      <c r="F20" s="15">
        <v>0</v>
      </c>
      <c r="G20" s="11">
        <f t="shared" si="0"/>
        <v>540</v>
      </c>
    </row>
    <row r="21" spans="1:7">
      <c r="A21" s="9" t="s">
        <v>41</v>
      </c>
      <c r="B21" s="9" t="s">
        <v>42</v>
      </c>
      <c r="C21" s="10">
        <v>15</v>
      </c>
      <c r="D21" s="9" t="s">
        <v>11</v>
      </c>
      <c r="E21" s="14">
        <v>890</v>
      </c>
      <c r="F21" s="15">
        <v>0</v>
      </c>
      <c r="G21" s="11">
        <f t="shared" si="0"/>
        <v>890</v>
      </c>
    </row>
    <row r="22" spans="1:7">
      <c r="A22" s="9" t="s">
        <v>43</v>
      </c>
      <c r="B22" s="9" t="s">
        <v>44</v>
      </c>
      <c r="C22" s="10">
        <v>160</v>
      </c>
      <c r="D22" s="9" t="s">
        <v>11</v>
      </c>
      <c r="E22" s="14">
        <v>520</v>
      </c>
      <c r="F22" s="15">
        <v>0</v>
      </c>
      <c r="G22" s="11">
        <f t="shared" si="0"/>
        <v>520</v>
      </c>
    </row>
    <row r="23" spans="1:7">
      <c r="A23" s="9" t="s">
        <v>45</v>
      </c>
      <c r="B23" s="9" t="s">
        <v>46</v>
      </c>
      <c r="C23" s="10">
        <v>8.3000000000000007</v>
      </c>
      <c r="D23" s="9" t="s">
        <v>11</v>
      </c>
      <c r="E23" s="14">
        <v>460</v>
      </c>
      <c r="F23" s="15">
        <v>0</v>
      </c>
      <c r="G23" s="11">
        <f t="shared" si="0"/>
        <v>460</v>
      </c>
    </row>
    <row r="24" spans="1:7">
      <c r="A24" s="9" t="s">
        <v>47</v>
      </c>
      <c r="B24" s="9" t="s">
        <v>48</v>
      </c>
      <c r="C24" s="10">
        <v>120</v>
      </c>
      <c r="D24" s="9" t="s">
        <v>16</v>
      </c>
      <c r="E24" s="14">
        <v>12500</v>
      </c>
      <c r="F24" s="15">
        <v>0</v>
      </c>
      <c r="G24" s="11">
        <f t="shared" si="0"/>
        <v>12500</v>
      </c>
    </row>
    <row r="25" spans="1:7">
      <c r="A25" s="9" t="s">
        <v>49</v>
      </c>
      <c r="B25" s="9" t="s">
        <v>50</v>
      </c>
      <c r="C25" s="10">
        <v>120</v>
      </c>
      <c r="D25" s="9" t="s">
        <v>11</v>
      </c>
      <c r="E25" s="14">
        <v>240</v>
      </c>
      <c r="F25" s="15">
        <v>0</v>
      </c>
      <c r="G25" s="11">
        <f t="shared" si="0"/>
        <v>240</v>
      </c>
    </row>
    <row r="26" spans="1:7">
      <c r="A26" s="9" t="s">
        <v>51</v>
      </c>
      <c r="B26" s="9" t="s">
        <v>52</v>
      </c>
      <c r="C26" s="10">
        <v>100</v>
      </c>
      <c r="D26" s="9" t="s">
        <v>16</v>
      </c>
      <c r="E26" s="14">
        <v>12500</v>
      </c>
      <c r="F26" s="15">
        <v>0</v>
      </c>
      <c r="G26" s="11">
        <f t="shared" si="0"/>
        <v>12500</v>
      </c>
    </row>
    <row r="27" spans="1:7">
      <c r="A27" s="9" t="s">
        <v>53</v>
      </c>
      <c r="B27" s="9" t="s">
        <v>54</v>
      </c>
      <c r="C27" s="10">
        <v>100</v>
      </c>
      <c r="D27" s="9" t="s">
        <v>11</v>
      </c>
      <c r="E27" s="14">
        <v>210</v>
      </c>
      <c r="F27" s="15">
        <v>0</v>
      </c>
      <c r="G27" s="11">
        <f t="shared" si="0"/>
        <v>210</v>
      </c>
    </row>
    <row r="28" spans="1:7">
      <c r="A28" s="9" t="s">
        <v>55</v>
      </c>
      <c r="B28" s="9" t="s">
        <v>56</v>
      </c>
      <c r="C28" s="10">
        <v>20</v>
      </c>
      <c r="D28" s="9" t="s">
        <v>11</v>
      </c>
      <c r="E28" s="14">
        <v>35</v>
      </c>
      <c r="F28" s="15">
        <v>0</v>
      </c>
      <c r="G28" s="11">
        <f t="shared" si="0"/>
        <v>35</v>
      </c>
    </row>
    <row r="29" spans="1:7">
      <c r="A29" s="9" t="s">
        <v>57</v>
      </c>
      <c r="B29" s="9" t="s">
        <v>58</v>
      </c>
      <c r="C29" s="10">
        <v>12.5</v>
      </c>
      <c r="D29" s="9" t="s">
        <v>11</v>
      </c>
      <c r="E29" s="14">
        <v>240</v>
      </c>
      <c r="F29" s="15">
        <v>0</v>
      </c>
      <c r="G29" s="11">
        <f t="shared" si="0"/>
        <v>240</v>
      </c>
    </row>
    <row r="30" spans="1:7">
      <c r="A30" s="9" t="s">
        <v>59</v>
      </c>
      <c r="B30" s="9" t="s">
        <v>60</v>
      </c>
      <c r="C30" s="10">
        <v>75</v>
      </c>
      <c r="D30" s="9" t="s">
        <v>16</v>
      </c>
      <c r="E30" s="14">
        <v>12500</v>
      </c>
      <c r="F30" s="15">
        <v>0</v>
      </c>
      <c r="G30" s="11">
        <f t="shared" si="0"/>
        <v>12500</v>
      </c>
    </row>
    <row r="31" spans="1:7">
      <c r="A31" s="9" t="s">
        <v>61</v>
      </c>
      <c r="B31" s="9" t="s">
        <v>62</v>
      </c>
      <c r="C31" s="10">
        <v>75</v>
      </c>
      <c r="D31" s="9" t="s">
        <v>11</v>
      </c>
      <c r="E31" s="14">
        <v>160</v>
      </c>
      <c r="F31" s="15">
        <v>0</v>
      </c>
      <c r="G31" s="11">
        <f t="shared" si="0"/>
        <v>160</v>
      </c>
    </row>
    <row r="32" spans="1:7">
      <c r="A32" s="9" t="s">
        <v>63</v>
      </c>
      <c r="B32" s="9" t="s">
        <v>64</v>
      </c>
      <c r="C32" s="10">
        <v>40</v>
      </c>
      <c r="D32" s="9" t="s">
        <v>11</v>
      </c>
      <c r="E32" s="14">
        <v>180</v>
      </c>
      <c r="F32" s="15">
        <v>0</v>
      </c>
      <c r="G32" s="11">
        <f t="shared" si="0"/>
        <v>180</v>
      </c>
    </row>
    <row r="33" spans="1:7">
      <c r="A33" s="9" t="s">
        <v>65</v>
      </c>
      <c r="B33" s="9" t="s">
        <v>66</v>
      </c>
      <c r="C33" s="10">
        <v>240</v>
      </c>
      <c r="D33" s="9" t="s">
        <v>16</v>
      </c>
      <c r="E33" s="14">
        <v>14500</v>
      </c>
      <c r="F33" s="15">
        <v>0</v>
      </c>
      <c r="G33" s="11">
        <f t="shared" si="0"/>
        <v>14500</v>
      </c>
    </row>
    <row r="34" spans="1:7">
      <c r="A34" s="9" t="s">
        <v>67</v>
      </c>
      <c r="B34" s="9" t="s">
        <v>68</v>
      </c>
      <c r="C34" s="10">
        <v>140</v>
      </c>
      <c r="D34" s="9" t="s">
        <v>11</v>
      </c>
      <c r="E34" s="14">
        <v>260</v>
      </c>
      <c r="F34" s="15">
        <v>0</v>
      </c>
      <c r="G34" s="11">
        <f t="shared" si="0"/>
        <v>260</v>
      </c>
    </row>
    <row r="35" spans="1:7">
      <c r="A35" s="9" t="s">
        <v>69</v>
      </c>
      <c r="B35" s="9" t="s">
        <v>70</v>
      </c>
      <c r="C35" s="10">
        <v>60</v>
      </c>
      <c r="D35" s="9" t="s">
        <v>11</v>
      </c>
      <c r="E35" s="14">
        <v>290</v>
      </c>
      <c r="F35" s="15">
        <v>0</v>
      </c>
      <c r="G35" s="11">
        <f t="shared" si="0"/>
        <v>290</v>
      </c>
    </row>
    <row r="36" spans="1:7">
      <c r="A36" s="9" t="s">
        <v>71</v>
      </c>
      <c r="B36" s="9" t="s">
        <v>72</v>
      </c>
      <c r="C36" s="10">
        <v>22</v>
      </c>
      <c r="D36" s="9" t="s">
        <v>11</v>
      </c>
      <c r="E36" s="14">
        <v>340</v>
      </c>
      <c r="F36" s="15">
        <v>0</v>
      </c>
      <c r="G36" s="11">
        <f t="shared" si="0"/>
        <v>340</v>
      </c>
    </row>
    <row r="37" spans="1:7">
      <c r="A37" s="9" t="s">
        <v>73</v>
      </c>
      <c r="B37" s="9" t="s">
        <v>74</v>
      </c>
      <c r="C37" s="10">
        <v>25</v>
      </c>
      <c r="D37" s="9" t="s">
        <v>11</v>
      </c>
      <c r="E37" s="14">
        <v>480</v>
      </c>
      <c r="F37" s="15">
        <v>0</v>
      </c>
      <c r="G37" s="11">
        <f t="shared" si="0"/>
        <v>480</v>
      </c>
    </row>
    <row r="38" spans="1:7">
      <c r="A38" s="9" t="s">
        <v>75</v>
      </c>
      <c r="B38" s="9" t="s">
        <v>76</v>
      </c>
      <c r="C38" s="10">
        <v>40</v>
      </c>
      <c r="D38" s="9" t="s">
        <v>11</v>
      </c>
      <c r="E38" s="14">
        <v>390</v>
      </c>
      <c r="F38" s="15">
        <v>0</v>
      </c>
      <c r="G38" s="11">
        <f t="shared" si="0"/>
        <v>390</v>
      </c>
    </row>
    <row r="39" spans="1:7">
      <c r="A39" s="9" t="s">
        <v>77</v>
      </c>
      <c r="B39" s="9" t="s">
        <v>78</v>
      </c>
      <c r="C39" s="10">
        <v>60</v>
      </c>
      <c r="D39" s="9" t="s">
        <v>11</v>
      </c>
      <c r="E39" s="14">
        <v>780</v>
      </c>
      <c r="F39" s="15">
        <v>0</v>
      </c>
      <c r="G39" s="11">
        <f t="shared" si="0"/>
        <v>780</v>
      </c>
    </row>
    <row r="40" spans="1:7">
      <c r="A40" s="9" t="s">
        <v>79</v>
      </c>
      <c r="B40" s="9" t="s">
        <v>80</v>
      </c>
      <c r="C40" s="10">
        <v>240</v>
      </c>
      <c r="D40" s="9" t="s">
        <v>16</v>
      </c>
      <c r="E40" s="14">
        <v>14500</v>
      </c>
      <c r="F40" s="15">
        <v>0</v>
      </c>
      <c r="G40" s="11">
        <f t="shared" si="0"/>
        <v>14500</v>
      </c>
    </row>
    <row r="41" spans="1:7">
      <c r="A41" s="9" t="s">
        <v>81</v>
      </c>
      <c r="B41" s="9" t="s">
        <v>82</v>
      </c>
      <c r="C41" s="10">
        <v>140</v>
      </c>
      <c r="D41" s="9" t="s">
        <v>11</v>
      </c>
      <c r="E41" s="14">
        <v>260</v>
      </c>
      <c r="F41" s="15">
        <v>0</v>
      </c>
      <c r="G41" s="11">
        <f t="shared" si="0"/>
        <v>260</v>
      </c>
    </row>
    <row r="42" spans="1:7">
      <c r="A42" s="9" t="s">
        <v>83</v>
      </c>
      <c r="B42" s="9" t="s">
        <v>84</v>
      </c>
      <c r="C42" s="10">
        <v>60</v>
      </c>
      <c r="D42" s="9" t="s">
        <v>11</v>
      </c>
      <c r="E42" s="14">
        <v>320</v>
      </c>
      <c r="F42" s="15">
        <v>0</v>
      </c>
      <c r="G42" s="11">
        <f t="shared" si="0"/>
        <v>320</v>
      </c>
    </row>
    <row r="43" spans="1:7">
      <c r="A43" s="9" t="s">
        <v>85</v>
      </c>
      <c r="B43" s="9" t="s">
        <v>86</v>
      </c>
      <c r="C43" s="10">
        <v>22</v>
      </c>
      <c r="D43" s="9" t="s">
        <v>11</v>
      </c>
      <c r="E43" s="14">
        <v>590</v>
      </c>
      <c r="F43" s="15">
        <v>0</v>
      </c>
      <c r="G43" s="11">
        <f t="shared" si="0"/>
        <v>590</v>
      </c>
    </row>
    <row r="44" spans="1:7">
      <c r="A44" s="9" t="s">
        <v>87</v>
      </c>
      <c r="B44" s="9" t="s">
        <v>88</v>
      </c>
      <c r="C44" s="10">
        <v>40</v>
      </c>
      <c r="D44" s="9" t="s">
        <v>16</v>
      </c>
      <c r="E44" s="14">
        <v>11000</v>
      </c>
      <c r="F44" s="15">
        <v>0</v>
      </c>
      <c r="G44" s="11">
        <f t="shared" si="0"/>
        <v>11000</v>
      </c>
    </row>
    <row r="45" spans="1:7">
      <c r="A45" s="9" t="s">
        <v>89</v>
      </c>
      <c r="B45" s="9" t="s">
        <v>90</v>
      </c>
      <c r="C45" s="10">
        <v>0.3</v>
      </c>
      <c r="D45" s="9" t="s">
        <v>11</v>
      </c>
      <c r="E45" s="14">
        <v>75</v>
      </c>
      <c r="F45" s="15">
        <v>0</v>
      </c>
      <c r="G45" s="11">
        <f t="shared" si="0"/>
        <v>75</v>
      </c>
    </row>
    <row r="46" spans="1:7">
      <c r="A46" s="9" t="s">
        <v>91</v>
      </c>
      <c r="B46" s="9" t="s">
        <v>92</v>
      </c>
      <c r="C46" s="10">
        <v>240</v>
      </c>
      <c r="D46" s="9" t="s">
        <v>16</v>
      </c>
      <c r="E46" s="14">
        <v>13500</v>
      </c>
      <c r="F46" s="15">
        <v>0</v>
      </c>
      <c r="G46" s="11">
        <f t="shared" si="0"/>
        <v>13500</v>
      </c>
    </row>
    <row r="47" spans="1:7">
      <c r="A47" s="9" t="s">
        <v>93</v>
      </c>
      <c r="B47" s="9" t="s">
        <v>94</v>
      </c>
      <c r="C47" s="10">
        <v>240</v>
      </c>
      <c r="D47" s="9" t="s">
        <v>11</v>
      </c>
      <c r="E47" s="14">
        <v>540</v>
      </c>
      <c r="F47" s="15">
        <v>0</v>
      </c>
      <c r="G47" s="11">
        <f t="shared" si="0"/>
        <v>540</v>
      </c>
    </row>
    <row r="48" spans="1:7">
      <c r="A48" s="9" t="s">
        <v>95</v>
      </c>
      <c r="B48" s="9" t="s">
        <v>96</v>
      </c>
      <c r="C48" s="10">
        <v>60</v>
      </c>
      <c r="D48" s="9" t="s">
        <v>11</v>
      </c>
      <c r="E48" s="14">
        <v>590</v>
      </c>
      <c r="F48" s="15">
        <v>0</v>
      </c>
      <c r="G48" s="11">
        <f t="shared" si="0"/>
        <v>590</v>
      </c>
    </row>
    <row r="49" spans="1:7">
      <c r="A49" s="9" t="s">
        <v>97</v>
      </c>
      <c r="B49" s="9" t="s">
        <v>98</v>
      </c>
      <c r="C49" s="10">
        <v>1</v>
      </c>
      <c r="D49" s="9" t="s">
        <v>11</v>
      </c>
      <c r="E49" s="14">
        <v>65</v>
      </c>
      <c r="F49" s="15">
        <v>0</v>
      </c>
      <c r="G49" s="11">
        <f t="shared" si="0"/>
        <v>65</v>
      </c>
    </row>
    <row r="50" spans="1:7">
      <c r="A50" s="9" t="s">
        <v>99</v>
      </c>
      <c r="B50" s="9" t="s">
        <v>100</v>
      </c>
      <c r="C50" s="10">
        <v>40</v>
      </c>
      <c r="D50" s="9" t="s">
        <v>16</v>
      </c>
      <c r="E50" s="14">
        <v>11000</v>
      </c>
      <c r="F50" s="15">
        <v>0</v>
      </c>
      <c r="G50" s="11">
        <f t="shared" si="0"/>
        <v>11000</v>
      </c>
    </row>
    <row r="51" spans="1:7">
      <c r="A51" s="9" t="s">
        <v>101</v>
      </c>
      <c r="B51" s="9" t="s">
        <v>102</v>
      </c>
      <c r="C51" s="10">
        <v>0.4</v>
      </c>
      <c r="D51" s="9" t="s">
        <v>11</v>
      </c>
      <c r="E51" s="14">
        <v>85</v>
      </c>
      <c r="F51" s="15">
        <v>0</v>
      </c>
      <c r="G51" s="11">
        <f t="shared" si="0"/>
        <v>85</v>
      </c>
    </row>
    <row r="52" spans="1:7">
      <c r="A52" s="9" t="s">
        <v>103</v>
      </c>
      <c r="B52" s="9" t="s">
        <v>104</v>
      </c>
      <c r="C52" s="10">
        <v>240</v>
      </c>
      <c r="D52" s="9" t="s">
        <v>16</v>
      </c>
      <c r="E52" s="14">
        <v>12500</v>
      </c>
      <c r="F52" s="15">
        <v>0</v>
      </c>
      <c r="G52" s="11">
        <f t="shared" si="0"/>
        <v>12500</v>
      </c>
    </row>
    <row r="53" spans="1:7">
      <c r="A53" s="9" t="s">
        <v>105</v>
      </c>
      <c r="B53" s="9" t="s">
        <v>106</v>
      </c>
      <c r="C53" s="10">
        <v>180</v>
      </c>
      <c r="D53" s="9" t="s">
        <v>11</v>
      </c>
      <c r="E53" s="14">
        <v>620</v>
      </c>
      <c r="F53" s="15">
        <v>0</v>
      </c>
      <c r="G53" s="11">
        <f t="shared" si="0"/>
        <v>620</v>
      </c>
    </row>
    <row r="54" spans="1:7">
      <c r="A54" s="9" t="s">
        <v>107</v>
      </c>
      <c r="B54" s="9" t="s">
        <v>108</v>
      </c>
      <c r="C54" s="10">
        <v>1.5</v>
      </c>
      <c r="D54" s="9" t="s">
        <v>11</v>
      </c>
      <c r="E54" s="14">
        <v>490</v>
      </c>
      <c r="F54" s="15">
        <v>0</v>
      </c>
      <c r="G54" s="11">
        <f t="shared" si="0"/>
        <v>490</v>
      </c>
    </row>
    <row r="55" spans="1:7">
      <c r="A55" s="9" t="s">
        <v>109</v>
      </c>
      <c r="B55" s="9" t="s">
        <v>110</v>
      </c>
      <c r="C55" s="10">
        <v>4</v>
      </c>
      <c r="D55" s="9" t="s">
        <v>11</v>
      </c>
      <c r="E55" s="14">
        <v>160</v>
      </c>
      <c r="F55" s="15">
        <v>0</v>
      </c>
      <c r="G55" s="11">
        <f t="shared" si="0"/>
        <v>160</v>
      </c>
    </row>
    <row r="56" spans="1:7">
      <c r="A56" s="9" t="s">
        <v>111</v>
      </c>
      <c r="B56" s="9" t="s">
        <v>112</v>
      </c>
      <c r="C56" s="10">
        <v>120</v>
      </c>
      <c r="D56" s="9" t="s">
        <v>11</v>
      </c>
      <c r="E56" s="14">
        <v>320</v>
      </c>
      <c r="F56" s="15">
        <v>0</v>
      </c>
      <c r="G56" s="11">
        <f t="shared" si="0"/>
        <v>320</v>
      </c>
    </row>
  </sheetData>
  <mergeCells count="3">
    <mergeCell ref="A1:G1"/>
    <mergeCell ref="A2:G2"/>
    <mergeCell ref="A4:G4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Tereza Sigmundová</dc:creator>
  <cp:lastModifiedBy>Tereza Sigmundová</cp:lastModifiedBy>
  <dcterms:created xsi:type="dcterms:W3CDTF">2026-08-04T12:43:42Z</dcterms:created>
  <dcterms:modified xsi:type="dcterms:W3CDTF">2026-08-04T12:46:02Z</dcterms:modified>
</cp:coreProperties>
</file>